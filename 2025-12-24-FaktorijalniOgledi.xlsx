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-Nastava\!!Master_studije\!!!Osnov_princ_eksp_rada_i_inf_sistemi\2025\Vezbe\"/>
    </mc:Choice>
  </mc:AlternateContent>
  <xr:revisionPtr revIDLastSave="0" documentId="13_ncr:1_{D619DE9E-77A5-4010-8D90-BF2F63CCE511}" xr6:coauthVersionLast="47" xr6:coauthVersionMax="47" xr10:uidLastSave="{00000000-0000-0000-0000-000000000000}"/>
  <bookViews>
    <workbookView xWindow="-110" yWindow="-110" windowWidth="19420" windowHeight="10560" xr2:uid="{C4AA8DAF-3D8E-452C-85C1-A1EC059A125D}"/>
  </bookViews>
  <sheets>
    <sheet name="Vezba5i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40" i="1"/>
  <c r="C43" i="1"/>
  <c r="B43" i="1"/>
  <c r="C42" i="1"/>
  <c r="B42" i="1"/>
  <c r="D41" i="1"/>
  <c r="D40" i="1"/>
  <c r="J32" i="1"/>
  <c r="H34" i="1"/>
  <c r="H33" i="1"/>
  <c r="H32" i="1"/>
  <c r="D28" i="1"/>
  <c r="F34" i="1"/>
  <c r="F33" i="1"/>
  <c r="F32" i="1"/>
  <c r="G33" i="1"/>
  <c r="G34" i="1"/>
  <c r="G32" i="1"/>
  <c r="C28" i="1"/>
  <c r="C29" i="1"/>
  <c r="D25" i="1"/>
  <c r="D26" i="1"/>
  <c r="D27" i="1"/>
  <c r="D24" i="1"/>
  <c r="C27" i="1"/>
  <c r="C26" i="1"/>
  <c r="C25" i="1"/>
  <c r="C24" i="1"/>
  <c r="B29" i="1"/>
  <c r="B20" i="1"/>
  <c r="B19" i="1"/>
  <c r="B18" i="1"/>
  <c r="B17" i="1"/>
  <c r="B16" i="1"/>
  <c r="B15" i="1"/>
  <c r="B13" i="1"/>
  <c r="B12" i="1"/>
  <c r="B11" i="1"/>
  <c r="B10" i="1"/>
  <c r="B14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G4" i="1"/>
  <c r="G5" i="1"/>
  <c r="G6" i="1"/>
  <c r="G7" i="1"/>
  <c r="G3" i="1"/>
  <c r="C9" i="1"/>
  <c r="D9" i="1"/>
  <c r="E9" i="1"/>
  <c r="B9" i="1"/>
  <c r="D8" i="1"/>
  <c r="E8" i="1"/>
  <c r="C8" i="1"/>
  <c r="B8" i="1"/>
</calcChain>
</file>

<file path=xl/sharedStrings.xml><?xml version="1.0" encoding="utf-8"?>
<sst xmlns="http://schemas.openxmlformats.org/spreadsheetml/2006/main" count="59" uniqueCount="55">
  <si>
    <t>b1</t>
  </si>
  <si>
    <t>b2</t>
  </si>
  <si>
    <t>Ponavaljanje</t>
  </si>
  <si>
    <t>a1</t>
  </si>
  <si>
    <t>a2</t>
  </si>
  <si>
    <t>Ukupno:</t>
  </si>
  <si>
    <t>Aritm. Sredine:</t>
  </si>
  <si>
    <t>Suma kvadrata
totala:</t>
  </si>
  <si>
    <t>Sveobuhvatna
suma:</t>
  </si>
  <si>
    <t>Kvadrat sveobuhvatne
sume:</t>
  </si>
  <si>
    <t>n=</t>
  </si>
  <si>
    <t>Korektivni faktor:</t>
  </si>
  <si>
    <t>Kvadrati observiranih vrednosti
iz prethodne tabele:</t>
  </si>
  <si>
    <t>Sveobuhvatna suma
kvadrata:</t>
  </si>
  <si>
    <t>Suma kvadrata
tretmana:</t>
  </si>
  <si>
    <t>Suma kvadrata
greske:</t>
  </si>
  <si>
    <t>Suma kvadrata
glavnog efekta A:</t>
  </si>
  <si>
    <t>Suma kvadrata
glavnog efekta B:</t>
  </si>
  <si>
    <t>Analiza varijanse 2 x faktorijalnog ogleda</t>
  </si>
  <si>
    <t>Stepeni
slobode</t>
  </si>
  <si>
    <t>Suma
kvadrata</t>
  </si>
  <si>
    <t>Sredina
kvadrata</t>
  </si>
  <si>
    <t>Izvori
varijacije</t>
  </si>
  <si>
    <t>Tretmani</t>
  </si>
  <si>
    <t>A</t>
  </si>
  <si>
    <t>B</t>
  </si>
  <si>
    <t>AB</t>
  </si>
  <si>
    <t>Greska</t>
  </si>
  <si>
    <t>Suma kvadrata
interakcije AB:</t>
  </si>
  <si>
    <t>Sredine kvadrata
zaokruzene na tri
decimale</t>
  </si>
  <si>
    <t>Prvo uporedjenje
(za glavni efekat A):</t>
  </si>
  <si>
    <t>Drugo upredjenje
(za glavni efekat B):</t>
  </si>
  <si>
    <t>Trece uporedjenje
(za interakciju AB):</t>
  </si>
  <si>
    <t>Realizovane 
vrednosti
F-statistike:</t>
  </si>
  <si>
    <t>Kriticna vrednost
iz tablice F raspodele
za alpha=0.05 i stepene
slobode 1 I 16</t>
  </si>
  <si>
    <t>Tab.10.1.</t>
  </si>
  <si>
    <t>Tab.10.2</t>
  </si>
  <si>
    <t>Tab 10.3</t>
  </si>
  <si>
    <t>Dubina unosenja</t>
  </si>
  <si>
    <t>Vrsta mineralnog
djubriva</t>
  </si>
  <si>
    <t>a1 (suprefosfat)</t>
  </si>
  <si>
    <t>a2 (Tomasovo brasno)</t>
  </si>
  <si>
    <t>b1 (15cm)</t>
  </si>
  <si>
    <t>b2 (35cm)</t>
  </si>
  <si>
    <t>Aritm. Sredina:</t>
  </si>
  <si>
    <t>a1-a2</t>
  </si>
  <si>
    <t>b1-b2</t>
  </si>
  <si>
    <t xml:space="preserve">Sredina izmedju
</t>
  </si>
  <si>
    <t xml:space="preserve"> vrednosti -0.18 i 0.54</t>
  </si>
  <si>
    <t>je 0.18</t>
  </si>
  <si>
    <t>Sredina izmedju</t>
  </si>
  <si>
    <t>vrednosti 0.02 I 0.74</t>
  </si>
  <si>
    <t>je 0.38</t>
  </si>
  <si>
    <t>Postoji mogucnost da  faktori u ogledu nisu nezavisni. To ce biti onda kad dubina unosenja dovodi do promene u prinosu, ali ta promena je znacajnija uz primenu jednog djubriva. Moze se tako traziti odgovor da li je dubina unosenja imala znacajnijeg uticaja na veci prinos kada je bio suprefosfat upotrebljen.</t>
  </si>
  <si>
    <t>Razlika izmedju jednostavnih efekata za dubinu unosenja -0.18-0.54=-0.72, odnosno za vrstu djubriva 0,02-0,74=0,72
 pretstavlja interakciju dubina unosenja i vrste djubriva. Ta razlika se ponekad deli sa dva, tj. -0,72/2=-0,36. Interakcija ovde pokazuje odredjen efekat na rezultate ogleda u ostvarenoj kombinaciji dva faktora.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</si>
</sst>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" fillId="0" borderId="4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B4E8-FD58-43D0-97E3-0E16C771011D}">
  <dimension ref="A1:K51"/>
  <sheetViews>
    <sheetView tabSelected="1" workbookViewId="0"/>
  </sheetViews>
  <sheetFormatPr defaultRowHeight="14.5" x14ac:dyDescent="0.35"/>
  <cols>
    <col min="1" max="1" width="18.7265625" bestFit="1" customWidth="1"/>
    <col min="5" max="5" width="15" bestFit="1" customWidth="1"/>
    <col min="7" max="7" width="18.08984375" bestFit="1" customWidth="1"/>
    <col min="8" max="8" width="11.81640625" bestFit="1" customWidth="1"/>
  </cols>
  <sheetData>
    <row r="1" spans="1:10" x14ac:dyDescent="0.35">
      <c r="A1" s="13" t="s">
        <v>35</v>
      </c>
      <c r="B1" s="20" t="s">
        <v>3</v>
      </c>
      <c r="C1" s="20"/>
      <c r="D1" s="20" t="s">
        <v>4</v>
      </c>
      <c r="E1" s="21"/>
      <c r="G1" s="19" t="s">
        <v>12</v>
      </c>
      <c r="H1" s="15"/>
      <c r="I1" s="15"/>
      <c r="J1" s="15"/>
    </row>
    <row r="2" spans="1:10" x14ac:dyDescent="0.35">
      <c r="A2" s="7" t="s">
        <v>2</v>
      </c>
      <c r="B2" s="9" t="s">
        <v>0</v>
      </c>
      <c r="C2" s="9" t="s">
        <v>1</v>
      </c>
      <c r="D2" s="9" t="s">
        <v>0</v>
      </c>
      <c r="E2" s="10" t="s">
        <v>1</v>
      </c>
      <c r="G2" s="15"/>
      <c r="H2" s="15"/>
      <c r="I2" s="15"/>
      <c r="J2" s="15"/>
    </row>
    <row r="3" spans="1:10" x14ac:dyDescent="0.35">
      <c r="A3" s="2">
        <v>1</v>
      </c>
      <c r="B3">
        <v>5.0999999999999996</v>
      </c>
      <c r="C3">
        <v>4.8</v>
      </c>
      <c r="D3">
        <v>5.9</v>
      </c>
      <c r="E3" s="3">
        <v>4.5</v>
      </c>
      <c r="G3">
        <f>B3^2</f>
        <v>26.009999999999998</v>
      </c>
      <c r="H3">
        <f t="shared" ref="H3:J7" si="0">C3^2</f>
        <v>23.04</v>
      </c>
      <c r="I3">
        <f t="shared" si="0"/>
        <v>34.81</v>
      </c>
      <c r="J3">
        <f t="shared" si="0"/>
        <v>20.25</v>
      </c>
    </row>
    <row r="4" spans="1:10" x14ac:dyDescent="0.35">
      <c r="A4" s="2">
        <v>2</v>
      </c>
      <c r="B4">
        <v>4.8</v>
      </c>
      <c r="C4">
        <v>5.3</v>
      </c>
      <c r="D4">
        <v>5.5</v>
      </c>
      <c r="E4" s="3">
        <v>4.5999999999999996</v>
      </c>
      <c r="G4">
        <f t="shared" ref="G4:G7" si="1">B4^2</f>
        <v>23.04</v>
      </c>
      <c r="H4">
        <f t="shared" si="0"/>
        <v>28.09</v>
      </c>
      <c r="I4">
        <f t="shared" si="0"/>
        <v>30.25</v>
      </c>
      <c r="J4">
        <f t="shared" si="0"/>
        <v>21.159999999999997</v>
      </c>
    </row>
    <row r="5" spans="1:10" x14ac:dyDescent="0.35">
      <c r="A5" s="2">
        <v>3</v>
      </c>
      <c r="B5">
        <v>5</v>
      </c>
      <c r="C5">
        <v>5.7</v>
      </c>
      <c r="D5">
        <v>5.2</v>
      </c>
      <c r="E5" s="3">
        <v>4.8</v>
      </c>
      <c r="G5">
        <f t="shared" si="1"/>
        <v>25</v>
      </c>
      <c r="H5">
        <f t="shared" si="0"/>
        <v>32.49</v>
      </c>
      <c r="I5">
        <f t="shared" si="0"/>
        <v>27.040000000000003</v>
      </c>
      <c r="J5">
        <f t="shared" si="0"/>
        <v>23.04</v>
      </c>
    </row>
    <row r="6" spans="1:10" x14ac:dyDescent="0.35">
      <c r="A6" s="2">
        <v>4</v>
      </c>
      <c r="B6">
        <v>5.3</v>
      </c>
      <c r="C6">
        <v>5.3</v>
      </c>
      <c r="D6">
        <v>3.5</v>
      </c>
      <c r="E6" s="3">
        <v>3.4</v>
      </c>
      <c r="G6">
        <f t="shared" si="1"/>
        <v>28.09</v>
      </c>
      <c r="H6">
        <f t="shared" si="0"/>
        <v>28.09</v>
      </c>
      <c r="I6">
        <f t="shared" si="0"/>
        <v>12.25</v>
      </c>
      <c r="J6">
        <f t="shared" si="0"/>
        <v>11.559999999999999</v>
      </c>
    </row>
    <row r="7" spans="1:10" ht="15" thickBot="1" x14ac:dyDescent="0.4">
      <c r="A7" s="4">
        <v>5</v>
      </c>
      <c r="B7" s="5">
        <v>4.5</v>
      </c>
      <c r="C7" s="5">
        <v>4.5</v>
      </c>
      <c r="D7" s="5">
        <v>4.5</v>
      </c>
      <c r="E7" s="6">
        <v>4.5999999999999996</v>
      </c>
      <c r="G7">
        <f t="shared" si="1"/>
        <v>20.25</v>
      </c>
      <c r="H7">
        <f t="shared" si="0"/>
        <v>20.25</v>
      </c>
      <c r="I7">
        <f t="shared" si="0"/>
        <v>20.25</v>
      </c>
      <c r="J7">
        <f t="shared" si="0"/>
        <v>21.159999999999997</v>
      </c>
    </row>
    <row r="8" spans="1:10" x14ac:dyDescent="0.35">
      <c r="A8" s="8" t="s">
        <v>5</v>
      </c>
      <c r="B8">
        <f>SUM(B3:B7)</f>
        <v>24.7</v>
      </c>
      <c r="C8">
        <f>SUM(C3:C7)</f>
        <v>25.6</v>
      </c>
      <c r="D8">
        <f t="shared" ref="D8:E8" si="2">SUM(D3:D7)</f>
        <v>24.6</v>
      </c>
      <c r="E8">
        <f t="shared" si="2"/>
        <v>21.9</v>
      </c>
    </row>
    <row r="9" spans="1:10" x14ac:dyDescent="0.35">
      <c r="A9" s="8" t="s">
        <v>6</v>
      </c>
      <c r="B9">
        <f>AVERAGE(B3:B7)</f>
        <v>4.9399999999999995</v>
      </c>
      <c r="C9">
        <f t="shared" ref="C9:E9" si="3">AVERAGE(C3:C7)</f>
        <v>5.12</v>
      </c>
      <c r="D9">
        <f t="shared" si="3"/>
        <v>4.92</v>
      </c>
      <c r="E9">
        <f t="shared" si="3"/>
        <v>4.38</v>
      </c>
    </row>
    <row r="10" spans="1:10" ht="29" x14ac:dyDescent="0.35">
      <c r="A10" s="11" t="s">
        <v>8</v>
      </c>
      <c r="B10">
        <f>SUM(B3:E7)</f>
        <v>96.8</v>
      </c>
    </row>
    <row r="11" spans="1:10" ht="43.5" x14ac:dyDescent="0.35">
      <c r="A11" s="11" t="s">
        <v>9</v>
      </c>
      <c r="B11">
        <f>B10^2</f>
        <v>9370.24</v>
      </c>
    </row>
    <row r="12" spans="1:10" x14ac:dyDescent="0.35">
      <c r="A12" s="8" t="s">
        <v>10</v>
      </c>
      <c r="B12">
        <f>COUNT(B3:E7)</f>
        <v>20</v>
      </c>
    </row>
    <row r="13" spans="1:10" x14ac:dyDescent="0.35">
      <c r="A13" s="8" t="s">
        <v>11</v>
      </c>
      <c r="B13">
        <f>B11/B12</f>
        <v>468.512</v>
      </c>
    </row>
    <row r="14" spans="1:10" ht="43.5" x14ac:dyDescent="0.35">
      <c r="A14" s="11" t="s">
        <v>13</v>
      </c>
      <c r="B14">
        <f>SUM(G3:J7)</f>
        <v>476.12</v>
      </c>
    </row>
    <row r="15" spans="1:10" ht="43.5" x14ac:dyDescent="0.35">
      <c r="A15" s="11" t="s">
        <v>7</v>
      </c>
      <c r="B15">
        <f>B14-B13</f>
        <v>7.6080000000000041</v>
      </c>
      <c r="C15">
        <v>7.6</v>
      </c>
    </row>
    <row r="16" spans="1:10" ht="29" x14ac:dyDescent="0.35">
      <c r="A16" s="11" t="s">
        <v>14</v>
      </c>
      <c r="B16">
        <f>(B8^2+C8^2+D8^2+E8^2)/5-B13</f>
        <v>1.5320000000000391</v>
      </c>
    </row>
    <row r="17" spans="1:11" ht="29" x14ac:dyDescent="0.35">
      <c r="A17" s="11" t="s">
        <v>15</v>
      </c>
      <c r="B17">
        <f>B15-B16</f>
        <v>6.075999999999965</v>
      </c>
    </row>
    <row r="18" spans="1:11" ht="29" x14ac:dyDescent="0.35">
      <c r="A18" s="11" t="s">
        <v>16</v>
      </c>
      <c r="B18">
        <f>((B8+C8)^2+(D8+E8)^2)/10-B13</f>
        <v>0.72200000000003683</v>
      </c>
    </row>
    <row r="19" spans="1:11" ht="29" x14ac:dyDescent="0.35">
      <c r="A19" s="11" t="s">
        <v>17</v>
      </c>
      <c r="B19">
        <f>((B8+D8)^2+(C8+E8)^2)/10-B13</f>
        <v>0.16199999999997772</v>
      </c>
    </row>
    <row r="20" spans="1:11" ht="29" x14ac:dyDescent="0.35">
      <c r="A20" s="11" t="s">
        <v>28</v>
      </c>
      <c r="B20">
        <f>B16-B18-B19</f>
        <v>0.64800000000002456</v>
      </c>
    </row>
    <row r="22" spans="1:11" ht="15" thickBot="1" x14ac:dyDescent="0.4">
      <c r="A22" s="14" t="s">
        <v>36</v>
      </c>
      <c r="B22" s="18" t="s">
        <v>18</v>
      </c>
      <c r="C22" s="18"/>
      <c r="D22" s="18"/>
      <c r="E22" s="18"/>
    </row>
    <row r="23" spans="1:11" ht="43.5" x14ac:dyDescent="0.35">
      <c r="A23" s="11" t="s">
        <v>22</v>
      </c>
      <c r="B23" s="11" t="s">
        <v>19</v>
      </c>
      <c r="C23" s="11" t="s">
        <v>20</v>
      </c>
      <c r="D23" s="11" t="s">
        <v>21</v>
      </c>
      <c r="E23" s="11" t="s">
        <v>29</v>
      </c>
    </row>
    <row r="24" spans="1:11" x14ac:dyDescent="0.35">
      <c r="A24" s="11" t="s">
        <v>23</v>
      </c>
      <c r="B24">
        <v>3</v>
      </c>
      <c r="C24">
        <f>B16</f>
        <v>1.5320000000000391</v>
      </c>
      <c r="D24">
        <f>C24/B24</f>
        <v>0.5106666666666797</v>
      </c>
      <c r="E24">
        <v>0.51100000000000001</v>
      </c>
    </row>
    <row r="25" spans="1:11" x14ac:dyDescent="0.35">
      <c r="A25" s="11" t="s">
        <v>24</v>
      </c>
      <c r="B25">
        <v>1</v>
      </c>
      <c r="C25">
        <f>B18</f>
        <v>0.72200000000003683</v>
      </c>
      <c r="D25">
        <f t="shared" ref="D25:D27" si="4">C25/B25</f>
        <v>0.72200000000003683</v>
      </c>
      <c r="E25">
        <v>0.72199999999999998</v>
      </c>
    </row>
    <row r="26" spans="1:11" x14ac:dyDescent="0.35">
      <c r="A26" s="11" t="s">
        <v>25</v>
      </c>
      <c r="B26">
        <v>1</v>
      </c>
      <c r="C26">
        <f>B19</f>
        <v>0.16199999999997772</v>
      </c>
      <c r="D26">
        <f t="shared" si="4"/>
        <v>0.16199999999997772</v>
      </c>
      <c r="E26">
        <v>0.16200000000000001</v>
      </c>
    </row>
    <row r="27" spans="1:11" x14ac:dyDescent="0.35">
      <c r="A27" s="11" t="s">
        <v>26</v>
      </c>
      <c r="B27">
        <v>1</v>
      </c>
      <c r="C27">
        <f>B20</f>
        <v>0.64800000000002456</v>
      </c>
      <c r="D27">
        <f t="shared" si="4"/>
        <v>0.64800000000002456</v>
      </c>
      <c r="E27">
        <v>0.64800000000000002</v>
      </c>
    </row>
    <row r="28" spans="1:11" x14ac:dyDescent="0.35">
      <c r="A28" s="11" t="s">
        <v>27</v>
      </c>
      <c r="B28">
        <v>16</v>
      </c>
      <c r="C28">
        <f>B17</f>
        <v>6.075999999999965</v>
      </c>
      <c r="D28">
        <f>C28/B28</f>
        <v>0.37974999999999781</v>
      </c>
      <c r="E28">
        <v>0.38</v>
      </c>
    </row>
    <row r="29" spans="1:11" x14ac:dyDescent="0.35">
      <c r="A29" s="11" t="s">
        <v>5</v>
      </c>
      <c r="B29">
        <f>SUM(B25:B28)</f>
        <v>19</v>
      </c>
      <c r="C29">
        <f>B15</f>
        <v>7.6080000000000041</v>
      </c>
    </row>
    <row r="31" spans="1:11" ht="43.5" x14ac:dyDescent="0.35">
      <c r="H31" s="12" t="s">
        <v>33</v>
      </c>
      <c r="J31" s="16" t="s">
        <v>34</v>
      </c>
      <c r="K31" s="17"/>
    </row>
    <row r="32" spans="1:11" ht="29" x14ac:dyDescent="0.35">
      <c r="A32" s="11" t="s">
        <v>30</v>
      </c>
      <c r="B32">
        <v>1</v>
      </c>
      <c r="C32">
        <v>1</v>
      </c>
      <c r="D32">
        <v>-1</v>
      </c>
      <c r="E32">
        <v>-1</v>
      </c>
      <c r="F32">
        <f>(B35*B32+C35*C32+D35*D32+E35*E32)^2/20</f>
        <v>0.72199999999999886</v>
      </c>
      <c r="G32">
        <f>B32*B33+C32*C33+D32*D33+E32*E33</f>
        <v>0</v>
      </c>
      <c r="H32">
        <f>F32/E28</f>
        <v>1.899999999999997</v>
      </c>
      <c r="I32">
        <v>1.9</v>
      </c>
      <c r="J32">
        <f>_xlfn.F.INV(0.95,1,16)</f>
        <v>4.4939984776663584</v>
      </c>
      <c r="K32">
        <v>4.49</v>
      </c>
    </row>
    <row r="33" spans="1:9" ht="29" x14ac:dyDescent="0.35">
      <c r="A33" s="11" t="s">
        <v>31</v>
      </c>
      <c r="B33">
        <v>1</v>
      </c>
      <c r="C33">
        <v>-1</v>
      </c>
      <c r="D33">
        <v>1</v>
      </c>
      <c r="E33">
        <v>-1</v>
      </c>
      <c r="F33">
        <f>(B35*B33+C35*C33+D35*D33+E35*E33)^2/20</f>
        <v>0.16200000000000012</v>
      </c>
      <c r="G33">
        <f>$B$34*B33+$C$34*C33+$D$34*D33+$E$34*E33</f>
        <v>0</v>
      </c>
      <c r="H33">
        <f>F33/E28</f>
        <v>0.42631578947368454</v>
      </c>
      <c r="I33">
        <v>0.43</v>
      </c>
    </row>
    <row r="34" spans="1:9" ht="29" x14ac:dyDescent="0.35">
      <c r="A34" s="11" t="s">
        <v>32</v>
      </c>
      <c r="B34">
        <v>1</v>
      </c>
      <c r="C34">
        <v>-1</v>
      </c>
      <c r="D34">
        <v>-1</v>
      </c>
      <c r="E34">
        <v>1</v>
      </c>
      <c r="F34">
        <f>(B35*B34+C35*C34+D35*D34+E35*E34)^2/20</f>
        <v>0.6480000000000018</v>
      </c>
      <c r="G34">
        <f>$B$34*B32+$C$34*C32+$D$34*D32+$E$34*E32</f>
        <v>0</v>
      </c>
      <c r="H34">
        <f>F34/E28</f>
        <v>1.7052631578947415</v>
      </c>
      <c r="I34">
        <v>1.7</v>
      </c>
    </row>
    <row r="35" spans="1:9" x14ac:dyDescent="0.35">
      <c r="B35">
        <v>24.7</v>
      </c>
      <c r="C35">
        <v>25.6</v>
      </c>
      <c r="D35">
        <v>24.6</v>
      </c>
      <c r="E35">
        <v>21.9</v>
      </c>
    </row>
    <row r="37" spans="1:9" x14ac:dyDescent="0.35">
      <c r="A37" s="8" t="s">
        <v>37</v>
      </c>
    </row>
    <row r="38" spans="1:9" x14ac:dyDescent="0.35">
      <c r="A38" s="19" t="s">
        <v>39</v>
      </c>
      <c r="B38" s="15" t="s">
        <v>38</v>
      </c>
      <c r="C38" s="15"/>
    </row>
    <row r="39" spans="1:9" x14ac:dyDescent="0.35">
      <c r="A39" s="15"/>
      <c r="B39" s="8" t="s">
        <v>42</v>
      </c>
      <c r="C39" s="8" t="s">
        <v>43</v>
      </c>
      <c r="D39" s="8" t="s">
        <v>44</v>
      </c>
      <c r="E39" s="8" t="s">
        <v>46</v>
      </c>
    </row>
    <row r="40" spans="1:9" x14ac:dyDescent="0.35">
      <c r="A40" s="8" t="s">
        <v>40</v>
      </c>
      <c r="B40">
        <v>4.9400000000000004</v>
      </c>
      <c r="C40">
        <v>5.12</v>
      </c>
      <c r="D40">
        <f>AVERAGE(B40:C40)</f>
        <v>5.03</v>
      </c>
      <c r="E40">
        <f>B40-C40</f>
        <v>-0.17999999999999972</v>
      </c>
      <c r="F40" s="19" t="s">
        <v>47</v>
      </c>
      <c r="G40" s="15" t="s">
        <v>48</v>
      </c>
      <c r="H40" s="8"/>
    </row>
    <row r="41" spans="1:9" ht="40.5" customHeight="1" x14ac:dyDescent="0.35">
      <c r="A41" s="8" t="s">
        <v>41</v>
      </c>
      <c r="B41">
        <v>4.92</v>
      </c>
      <c r="C41">
        <v>4.38</v>
      </c>
      <c r="D41">
        <f>AVERAGE(B41:C41)</f>
        <v>4.6500000000000004</v>
      </c>
      <c r="E41">
        <f>B41-C41</f>
        <v>0.54</v>
      </c>
      <c r="F41" s="15"/>
      <c r="G41" s="15"/>
      <c r="H41" s="8" t="s">
        <v>49</v>
      </c>
    </row>
    <row r="42" spans="1:9" x14ac:dyDescent="0.35">
      <c r="A42" s="8" t="s">
        <v>44</v>
      </c>
      <c r="B42">
        <f>AVERAGE(B40:B41)</f>
        <v>4.93</v>
      </c>
      <c r="C42">
        <f>AVERAGE(C40:C41)</f>
        <v>4.75</v>
      </c>
      <c r="H42" s="1"/>
    </row>
    <row r="43" spans="1:9" x14ac:dyDescent="0.35">
      <c r="A43" s="8" t="s">
        <v>45</v>
      </c>
      <c r="B43">
        <f>B40-B41</f>
        <v>2.0000000000000462E-2</v>
      </c>
      <c r="C43">
        <f>C40-C41</f>
        <v>0.74000000000000021</v>
      </c>
    </row>
    <row r="44" spans="1:9" x14ac:dyDescent="0.35">
      <c r="B44" s="15" t="s">
        <v>50</v>
      </c>
      <c r="C44" s="15"/>
    </row>
    <row r="45" spans="1:9" x14ac:dyDescent="0.35">
      <c r="B45" s="15" t="s">
        <v>51</v>
      </c>
      <c r="C45" s="15"/>
    </row>
    <row r="46" spans="1:9" x14ac:dyDescent="0.35">
      <c r="B46" s="15" t="s">
        <v>52</v>
      </c>
      <c r="C46" s="15"/>
    </row>
    <row r="48" spans="1:9" ht="43.5" customHeight="1" x14ac:dyDescent="0.35">
      <c r="A48" s="16" t="s">
        <v>53</v>
      </c>
      <c r="B48" s="16"/>
      <c r="C48" s="16"/>
      <c r="D48" s="16"/>
      <c r="E48" s="16"/>
      <c r="F48" s="16"/>
      <c r="G48" s="16"/>
    </row>
    <row r="49" spans="1:8" x14ac:dyDescent="0.35">
      <c r="A49" s="16" t="s">
        <v>54</v>
      </c>
      <c r="B49" s="17"/>
      <c r="C49" s="17"/>
      <c r="D49" s="17"/>
      <c r="E49" s="17"/>
      <c r="F49" s="17"/>
      <c r="G49" s="17"/>
      <c r="H49" s="17"/>
    </row>
    <row r="50" spans="1:8" x14ac:dyDescent="0.35">
      <c r="A50" s="17"/>
      <c r="B50" s="17"/>
      <c r="C50" s="17"/>
      <c r="D50" s="17"/>
      <c r="E50" s="17"/>
      <c r="F50" s="17"/>
      <c r="G50" s="17"/>
      <c r="H50" s="17"/>
    </row>
    <row r="51" spans="1:8" x14ac:dyDescent="0.35">
      <c r="A51" s="17"/>
      <c r="B51" s="17"/>
      <c r="C51" s="17"/>
      <c r="D51" s="17"/>
      <c r="E51" s="17"/>
      <c r="F51" s="17"/>
      <c r="G51" s="17"/>
      <c r="H51" s="17"/>
    </row>
  </sheetData>
  <mergeCells count="14">
    <mergeCell ref="B1:C1"/>
    <mergeCell ref="D1:E1"/>
    <mergeCell ref="G1:J2"/>
    <mergeCell ref="J31:K31"/>
    <mergeCell ref="B22:E22"/>
    <mergeCell ref="B38:C38"/>
    <mergeCell ref="A38:A39"/>
    <mergeCell ref="F40:F41"/>
    <mergeCell ref="G40:G41"/>
    <mergeCell ref="B44:C44"/>
    <mergeCell ref="B45:C45"/>
    <mergeCell ref="B46:C46"/>
    <mergeCell ref="A48:G48"/>
    <mergeCell ref="A49:H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Vezba5i6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Milos Petrovic</dc:creator>
  <cp:lastModifiedBy>Milos Petrovic</cp:lastModifiedBy>
  <dcterms:created xsi:type="dcterms:W3CDTF">2025-12-24T16:02:07Z</dcterms:created>
  <dcterms:modified xsi:type="dcterms:W3CDTF">2025-12-24T22:57:20Z</dcterms:modified>
</cp:coreProperties>
</file>