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1-Nastava\!!Master_studije\!!!Osnov_princ_eksp_rada_i_inf_sistemi\2025\Vezbe\"/>
    </mc:Choice>
  </mc:AlternateContent>
  <xr:revisionPtr revIDLastSave="0" documentId="13_ncr:1_{1E6713E8-BCF1-449F-9AB1-3A617D9B5BF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ANOVAkodLatinKvadr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2" l="1"/>
  <c r="H40" i="2"/>
  <c r="H39" i="2"/>
  <c r="F40" i="2"/>
  <c r="F41" i="2"/>
  <c r="F39" i="2"/>
  <c r="C43" i="2"/>
  <c r="B43" i="2"/>
  <c r="D42" i="2"/>
  <c r="D40" i="2"/>
  <c r="D41" i="2"/>
  <c r="D39" i="2"/>
  <c r="C42" i="2"/>
  <c r="C41" i="2"/>
  <c r="C40" i="2"/>
  <c r="C39" i="2"/>
  <c r="B36" i="2"/>
  <c r="B28" i="2"/>
  <c r="B26" i="2"/>
  <c r="B35" i="2"/>
  <c r="B32" i="2"/>
  <c r="C32" i="2"/>
  <c r="D32" i="2"/>
  <c r="A32" i="2"/>
  <c r="E32" i="2" s="1"/>
  <c r="E33" i="2" s="1"/>
  <c r="D31" i="2"/>
  <c r="C31" i="2"/>
  <c r="B31" i="2"/>
  <c r="A31" i="2"/>
  <c r="B24" i="2"/>
  <c r="B23" i="2"/>
  <c r="B20" i="2"/>
  <c r="C20" i="2"/>
  <c r="D20" i="2"/>
  <c r="E20" i="2"/>
  <c r="B21" i="2"/>
  <c r="C21" i="2"/>
  <c r="D21" i="2"/>
  <c r="E21" i="2"/>
  <c r="B22" i="2"/>
  <c r="C22" i="2"/>
  <c r="D22" i="2"/>
  <c r="E22" i="2"/>
  <c r="C19" i="2"/>
  <c r="D19" i="2"/>
  <c r="E19" i="2"/>
  <c r="B19" i="2"/>
  <c r="B17" i="2"/>
  <c r="C15" i="2"/>
  <c r="D15" i="2"/>
  <c r="E15" i="2"/>
  <c r="B15" i="2"/>
  <c r="C14" i="2"/>
  <c r="D14" i="2"/>
  <c r="E14" i="2"/>
  <c r="B14" i="2"/>
  <c r="C7" i="2"/>
  <c r="D7" i="2"/>
  <c r="E7" i="2"/>
  <c r="B7" i="2"/>
  <c r="F5" i="2"/>
  <c r="F6" i="2"/>
  <c r="F4" i="2"/>
  <c r="F3" i="2"/>
</calcChain>
</file>

<file path=xl/sharedStrings.xml><?xml version="1.0" encoding="utf-8"?>
<sst xmlns="http://schemas.openxmlformats.org/spreadsheetml/2006/main" count="38" uniqueCount="29">
  <si>
    <t>Kolone</t>
  </si>
  <si>
    <t>Ukupno:</t>
  </si>
  <si>
    <t>(A)</t>
  </si>
  <si>
    <t>(B)</t>
  </si>
  <si>
    <t>(C)</t>
  </si>
  <si>
    <t>(D)</t>
  </si>
  <si>
    <t>Tretmani</t>
  </si>
  <si>
    <t>barX</t>
  </si>
  <si>
    <t>Korektivni
faktor</t>
  </si>
  <si>
    <t>Kvadrati:</t>
  </si>
  <si>
    <t>Suma
kvadrata:</t>
  </si>
  <si>
    <t>Suma kvadrata
- kor. Faktor:</t>
  </si>
  <si>
    <t>Suma kvadrata totala:</t>
  </si>
  <si>
    <t>Suma kvadrata kolona</t>
  </si>
  <si>
    <t>Suma kvadrata kolona:</t>
  </si>
  <si>
    <t>Suma kvadrata redova:</t>
  </si>
  <si>
    <t>Suma kvadrata tretmana:</t>
  </si>
  <si>
    <t>Suma kvadrata greske:</t>
  </si>
  <si>
    <t>Redovi:</t>
  </si>
  <si>
    <t>Kolone:</t>
  </si>
  <si>
    <t>Greška:</t>
  </si>
  <si>
    <t>Tretmani:</t>
  </si>
  <si>
    <t>Stepeni
slobode</t>
  </si>
  <si>
    <t>Izvor varijacija</t>
  </si>
  <si>
    <t>Suma
kvadrata</t>
  </si>
  <si>
    <t>Sredine
kvadrata</t>
  </si>
  <si>
    <t>Realizovane
vrednosti
F-statistike</t>
  </si>
  <si>
    <t>Tablicne vrednosti
za alpha=0.05</t>
  </si>
  <si>
    <t>1. ANOVA kod Latinskog kvadrata, str.263 u knjizi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</si>
</sst>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  <color rgb="FFD9E1F2"/>
      <color rgb="FFC6E0B4"/>
      <color rgb="FFFCE4D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E9EB-B672-460C-8671-9AEDB4FAAA34}">
  <dimension ref="A1:I43"/>
  <sheetViews>
    <sheetView tabSelected="1" workbookViewId="0">
      <selection activeCell="A2" sqref="A2"/>
    </sheetView>
  </sheetViews>
  <sheetFormatPr defaultRowHeight="14.5" x14ac:dyDescent="0.35"/>
  <cols>
    <col min="1" max="1" width="22.1796875" bestFit="1" customWidth="1"/>
    <col min="7" max="7" width="10.7265625" bestFit="1" customWidth="1"/>
    <col min="8" max="8" width="13.90625" customWidth="1"/>
  </cols>
  <sheetData>
    <row r="1" spans="1:6" x14ac:dyDescent="0.35">
      <c r="A1" t="s">
        <v>28</v>
      </c>
      <c r="B1" s="10" t="s">
        <v>0</v>
      </c>
      <c r="C1" s="10"/>
      <c r="D1" s="10"/>
      <c r="E1" s="10"/>
    </row>
    <row r="2" spans="1:6" x14ac:dyDescent="0.35">
      <c r="B2">
        <v>1</v>
      </c>
      <c r="C2">
        <v>2</v>
      </c>
      <c r="D2">
        <v>3</v>
      </c>
      <c r="E2">
        <v>4</v>
      </c>
      <c r="F2" t="s">
        <v>1</v>
      </c>
    </row>
    <row r="3" spans="1:6" x14ac:dyDescent="0.35">
      <c r="A3">
        <v>1</v>
      </c>
      <c r="B3" s="1">
        <v>17</v>
      </c>
      <c r="C3" s="2">
        <v>15</v>
      </c>
      <c r="D3" s="4">
        <v>19.5</v>
      </c>
      <c r="E3" s="3">
        <v>26</v>
      </c>
      <c r="F3">
        <f>SUM(B3:E3)</f>
        <v>77.5</v>
      </c>
    </row>
    <row r="4" spans="1:6" x14ac:dyDescent="0.35">
      <c r="A4">
        <v>2</v>
      </c>
      <c r="B4" s="4">
        <v>14.3</v>
      </c>
      <c r="C4" s="1">
        <v>21.2</v>
      </c>
      <c r="D4" s="3">
        <v>22.4</v>
      </c>
      <c r="E4" s="2">
        <v>17.5</v>
      </c>
      <c r="F4">
        <f>SUM(B4:E4)</f>
        <v>75.400000000000006</v>
      </c>
    </row>
    <row r="5" spans="1:6" x14ac:dyDescent="0.35">
      <c r="A5">
        <v>3</v>
      </c>
      <c r="B5" s="3">
        <v>25</v>
      </c>
      <c r="C5" s="4">
        <v>13.2</v>
      </c>
      <c r="D5" s="2">
        <v>16.7</v>
      </c>
      <c r="E5" s="1">
        <v>23.3</v>
      </c>
      <c r="F5">
        <f t="shared" ref="F5:F6" si="0">SUM(B5:E5)</f>
        <v>78.2</v>
      </c>
    </row>
    <row r="6" spans="1:6" x14ac:dyDescent="0.35">
      <c r="A6">
        <v>4</v>
      </c>
      <c r="B6" s="2">
        <v>13.8</v>
      </c>
      <c r="C6" s="3">
        <v>26</v>
      </c>
      <c r="D6" s="1">
        <v>24</v>
      </c>
      <c r="E6" s="4">
        <v>17.399999999999999</v>
      </c>
      <c r="F6">
        <f t="shared" si="0"/>
        <v>81.199999999999989</v>
      </c>
    </row>
    <row r="7" spans="1:6" x14ac:dyDescent="0.35">
      <c r="A7" t="s">
        <v>1</v>
      </c>
      <c r="B7">
        <f>SUM(B3:B6)</f>
        <v>70.099999999999994</v>
      </c>
      <c r="C7">
        <f t="shared" ref="C7:E7" si="1">SUM(C3:C6)</f>
        <v>75.400000000000006</v>
      </c>
      <c r="D7">
        <f t="shared" si="1"/>
        <v>82.6</v>
      </c>
      <c r="E7">
        <f t="shared" si="1"/>
        <v>84.199999999999989</v>
      </c>
    </row>
    <row r="8" spans="1:6" x14ac:dyDescent="0.35">
      <c r="B8" s="10" t="s">
        <v>6</v>
      </c>
      <c r="C8" s="10"/>
      <c r="D8" s="10"/>
      <c r="E8" s="10"/>
    </row>
    <row r="9" spans="1:6" x14ac:dyDescent="0.35">
      <c r="B9" s="5" t="s">
        <v>2</v>
      </c>
      <c r="C9" s="6" t="s">
        <v>3</v>
      </c>
      <c r="D9" s="7" t="s">
        <v>4</v>
      </c>
      <c r="E9" s="8" t="s">
        <v>5</v>
      </c>
    </row>
    <row r="10" spans="1:6" x14ac:dyDescent="0.35">
      <c r="B10">
        <v>17</v>
      </c>
      <c r="C10">
        <v>15</v>
      </c>
      <c r="D10">
        <v>26</v>
      </c>
      <c r="E10">
        <v>19.5</v>
      </c>
    </row>
    <row r="11" spans="1:6" x14ac:dyDescent="0.35">
      <c r="B11">
        <v>21.2</v>
      </c>
      <c r="C11">
        <v>17.5</v>
      </c>
      <c r="D11">
        <v>22.4</v>
      </c>
      <c r="E11">
        <v>14.3</v>
      </c>
    </row>
    <row r="12" spans="1:6" x14ac:dyDescent="0.35">
      <c r="B12">
        <v>23.3</v>
      </c>
      <c r="C12">
        <v>16.7</v>
      </c>
      <c r="D12">
        <v>25</v>
      </c>
      <c r="E12">
        <v>13.2</v>
      </c>
    </row>
    <row r="13" spans="1:6" x14ac:dyDescent="0.35">
      <c r="B13">
        <v>24</v>
      </c>
      <c r="C13">
        <v>13.8</v>
      </c>
      <c r="D13">
        <v>26</v>
      </c>
      <c r="E13">
        <v>17.399999999999999</v>
      </c>
    </row>
    <row r="14" spans="1:6" x14ac:dyDescent="0.35">
      <c r="A14" t="s">
        <v>1</v>
      </c>
      <c r="B14">
        <f>SUM(B10:B13)</f>
        <v>85.5</v>
      </c>
      <c r="C14">
        <f t="shared" ref="C14:E14" si="2">SUM(C10:C13)</f>
        <v>63</v>
      </c>
      <c r="D14">
        <f t="shared" si="2"/>
        <v>99.4</v>
      </c>
      <c r="E14">
        <f t="shared" si="2"/>
        <v>64.400000000000006</v>
      </c>
    </row>
    <row r="15" spans="1:6" x14ac:dyDescent="0.35">
      <c r="A15" t="s">
        <v>7</v>
      </c>
      <c r="B15">
        <f>AVERAGE(B10:B13)</f>
        <v>21.375</v>
      </c>
      <c r="C15">
        <f t="shared" ref="C15:E15" si="3">AVERAGE(C10:C13)</f>
        <v>15.75</v>
      </c>
      <c r="D15">
        <f t="shared" si="3"/>
        <v>24.85</v>
      </c>
      <c r="E15">
        <f t="shared" si="3"/>
        <v>16.100000000000001</v>
      </c>
    </row>
    <row r="16" spans="1:6" x14ac:dyDescent="0.35">
      <c r="B16">
        <v>21.37</v>
      </c>
      <c r="C16">
        <v>15.75</v>
      </c>
      <c r="D16">
        <v>24.85</v>
      </c>
      <c r="E16">
        <v>16.100000000000001</v>
      </c>
    </row>
    <row r="17" spans="1:5" ht="43.5" x14ac:dyDescent="0.35">
      <c r="A17" s="9" t="s">
        <v>8</v>
      </c>
      <c r="B17">
        <f>(SUM(B3:E6))^2/16</f>
        <v>6095.7056249999978</v>
      </c>
    </row>
    <row r="18" spans="1:5" x14ac:dyDescent="0.35">
      <c r="B18">
        <v>6095.7</v>
      </c>
    </row>
    <row r="19" spans="1:5" x14ac:dyDescent="0.35">
      <c r="A19" t="s">
        <v>9</v>
      </c>
      <c r="B19" s="1">
        <f>B3^2</f>
        <v>289</v>
      </c>
      <c r="C19" s="2">
        <f t="shared" ref="C19:E19" si="4">C3^2</f>
        <v>225</v>
      </c>
      <c r="D19" s="4">
        <f t="shared" si="4"/>
        <v>380.25</v>
      </c>
      <c r="E19" s="3">
        <f t="shared" si="4"/>
        <v>676</v>
      </c>
    </row>
    <row r="20" spans="1:5" x14ac:dyDescent="0.35">
      <c r="B20" s="4">
        <f t="shared" ref="B20:E20" si="5">B4^2</f>
        <v>204.49</v>
      </c>
      <c r="C20" s="1">
        <f t="shared" si="5"/>
        <v>449.44</v>
      </c>
      <c r="D20" s="3">
        <f t="shared" si="5"/>
        <v>501.75999999999993</v>
      </c>
      <c r="E20" s="2">
        <f t="shared" si="5"/>
        <v>306.25</v>
      </c>
    </row>
    <row r="21" spans="1:5" x14ac:dyDescent="0.35">
      <c r="B21" s="3">
        <f t="shared" ref="B21:E21" si="6">B5^2</f>
        <v>625</v>
      </c>
      <c r="C21" s="4">
        <f t="shared" si="6"/>
        <v>174.23999999999998</v>
      </c>
      <c r="D21" s="2">
        <f t="shared" si="6"/>
        <v>278.89</v>
      </c>
      <c r="E21" s="1">
        <f t="shared" si="6"/>
        <v>542.89</v>
      </c>
    </row>
    <row r="22" spans="1:5" x14ac:dyDescent="0.35">
      <c r="B22" s="2">
        <f t="shared" ref="B22:E22" si="7">B6^2</f>
        <v>190.44000000000003</v>
      </c>
      <c r="C22" s="3">
        <f t="shared" si="7"/>
        <v>676</v>
      </c>
      <c r="D22" s="1">
        <f t="shared" si="7"/>
        <v>576</v>
      </c>
      <c r="E22" s="4">
        <f t="shared" si="7"/>
        <v>302.75999999999993</v>
      </c>
    </row>
    <row r="23" spans="1:5" ht="29" x14ac:dyDescent="0.35">
      <c r="A23" s="9" t="s">
        <v>10</v>
      </c>
      <c r="B23">
        <f>SUM(B19:E22)</f>
        <v>6398.41</v>
      </c>
    </row>
    <row r="24" spans="1:5" ht="29" x14ac:dyDescent="0.35">
      <c r="A24" s="9" t="s">
        <v>11</v>
      </c>
      <c r="B24">
        <f>B23-B18</f>
        <v>302.71000000000004</v>
      </c>
    </row>
    <row r="25" spans="1:5" x14ac:dyDescent="0.35">
      <c r="A25" t="s">
        <v>12</v>
      </c>
      <c r="B25">
        <v>302.70999999999998</v>
      </c>
    </row>
    <row r="26" spans="1:5" x14ac:dyDescent="0.35">
      <c r="A26" t="s">
        <v>13</v>
      </c>
      <c r="B26">
        <f>(B7^2+C7^2+D7^2+E7^2)/4-B18</f>
        <v>32.192500000000109</v>
      </c>
    </row>
    <row r="27" spans="1:5" x14ac:dyDescent="0.35">
      <c r="A27" t="s">
        <v>14</v>
      </c>
      <c r="B27">
        <v>32.19</v>
      </c>
    </row>
    <row r="28" spans="1:5" x14ac:dyDescent="0.35">
      <c r="A28" t="s">
        <v>15</v>
      </c>
      <c r="B28">
        <f>(F3^2+F4^2+F5^2+F6^2)/4-B18</f>
        <v>4.3225000000002183</v>
      </c>
    </row>
    <row r="29" spans="1:5" x14ac:dyDescent="0.35">
      <c r="A29" t="s">
        <v>15</v>
      </c>
      <c r="B29">
        <v>4.32</v>
      </c>
    </row>
    <row r="30" spans="1:5" x14ac:dyDescent="0.35">
      <c r="A30" s="5" t="s">
        <v>2</v>
      </c>
      <c r="B30" s="6" t="s">
        <v>3</v>
      </c>
      <c r="C30" s="7" t="s">
        <v>4</v>
      </c>
      <c r="D30" s="8" t="s">
        <v>5</v>
      </c>
    </row>
    <row r="31" spans="1:5" x14ac:dyDescent="0.35">
      <c r="A31">
        <f>SUM(B3,C4,E5,D6)</f>
        <v>85.5</v>
      </c>
      <c r="B31">
        <f>SUM(C3,E4,D5,B6)</f>
        <v>63</v>
      </c>
      <c r="C31">
        <f>SUM(E3,D4,B5,C6)</f>
        <v>99.4</v>
      </c>
      <c r="D31">
        <f>SUM(D3,B4,C5,E6)</f>
        <v>64.400000000000006</v>
      </c>
    </row>
    <row r="32" spans="1:5" x14ac:dyDescent="0.35">
      <c r="A32">
        <f>A31^2</f>
        <v>7310.25</v>
      </c>
      <c r="B32">
        <f t="shared" ref="B32:D32" si="8">B31^2</f>
        <v>3969</v>
      </c>
      <c r="C32">
        <f t="shared" si="8"/>
        <v>9880.36</v>
      </c>
      <c r="D32">
        <f t="shared" si="8"/>
        <v>4147.3600000000006</v>
      </c>
      <c r="E32">
        <f>SUM(A32:D32)</f>
        <v>25306.97</v>
      </c>
    </row>
    <row r="33" spans="1:9" x14ac:dyDescent="0.35">
      <c r="E33">
        <f>E32/4</f>
        <v>6326.7425000000003</v>
      </c>
    </row>
    <row r="34" spans="1:9" x14ac:dyDescent="0.35">
      <c r="E34">
        <v>6326.74</v>
      </c>
    </row>
    <row r="35" spans="1:9" x14ac:dyDescent="0.35">
      <c r="A35" t="s">
        <v>16</v>
      </c>
      <c r="B35">
        <f>E34-B18</f>
        <v>231.03999999999996</v>
      </c>
    </row>
    <row r="36" spans="1:9" x14ac:dyDescent="0.35">
      <c r="A36" t="s">
        <v>17</v>
      </c>
      <c r="B36">
        <f>B25-B27-B29-B35</f>
        <v>35.160000000000025</v>
      </c>
    </row>
    <row r="38" spans="1:9" ht="43.5" x14ac:dyDescent="0.35">
      <c r="A38" t="s">
        <v>23</v>
      </c>
      <c r="B38" s="9" t="s">
        <v>22</v>
      </c>
      <c r="C38" s="9" t="s">
        <v>24</v>
      </c>
      <c r="D38" s="9" t="s">
        <v>25</v>
      </c>
      <c r="E38" s="9" t="s">
        <v>25</v>
      </c>
      <c r="G38" s="9" t="s">
        <v>26</v>
      </c>
      <c r="H38" s="9" t="s">
        <v>27</v>
      </c>
    </row>
    <row r="39" spans="1:9" x14ac:dyDescent="0.35">
      <c r="A39" t="s">
        <v>18</v>
      </c>
      <c r="B39">
        <v>3</v>
      </c>
      <c r="C39">
        <f>B29</f>
        <v>4.32</v>
      </c>
      <c r="D39">
        <f>C39/B39</f>
        <v>1.4400000000000002</v>
      </c>
      <c r="E39">
        <v>1.44</v>
      </c>
      <c r="F39">
        <f>E39/$E$42</f>
        <v>0.2457337883959044</v>
      </c>
      <c r="G39">
        <v>0.25</v>
      </c>
      <c r="H39">
        <f>_xlfn.F.INV(0.95,B39,$B$42)</f>
        <v>4.7570626630894113</v>
      </c>
      <c r="I39">
        <v>4.76</v>
      </c>
    </row>
    <row r="40" spans="1:9" x14ac:dyDescent="0.35">
      <c r="A40" t="s">
        <v>19</v>
      </c>
      <c r="B40">
        <v>3</v>
      </c>
      <c r="C40">
        <f>B27</f>
        <v>32.19</v>
      </c>
      <c r="D40">
        <f t="shared" ref="D40:D42" si="9">C40/B40</f>
        <v>10.729999999999999</v>
      </c>
      <c r="E40">
        <v>10.73</v>
      </c>
      <c r="F40">
        <f t="shared" ref="F40:F41" si="10">E40/$E$42</f>
        <v>1.8310580204778157</v>
      </c>
      <c r="G40">
        <v>1.83</v>
      </c>
      <c r="H40">
        <f>_xlfn.F.INV(0.95,B40,$B$42)</f>
        <v>4.7570626630894113</v>
      </c>
    </row>
    <row r="41" spans="1:9" x14ac:dyDescent="0.35">
      <c r="A41" t="s">
        <v>21</v>
      </c>
      <c r="B41">
        <v>3</v>
      </c>
      <c r="C41">
        <f>B35</f>
        <v>231.03999999999996</v>
      </c>
      <c r="D41">
        <f t="shared" si="9"/>
        <v>77.013333333333321</v>
      </c>
      <c r="E41">
        <v>77.010000000000005</v>
      </c>
      <c r="F41">
        <f t="shared" si="10"/>
        <v>13.141638225255972</v>
      </c>
      <c r="G41">
        <v>13.14</v>
      </c>
      <c r="H41">
        <f>_xlfn.F.INV(0.95,B41,$B$42)</f>
        <v>4.7570626630894113</v>
      </c>
    </row>
    <row r="42" spans="1:9" x14ac:dyDescent="0.35">
      <c r="A42" t="s">
        <v>20</v>
      </c>
      <c r="B42">
        <v>6</v>
      </c>
      <c r="C42">
        <f>B36</f>
        <v>35.160000000000025</v>
      </c>
      <c r="D42">
        <f t="shared" si="9"/>
        <v>5.8600000000000039</v>
      </c>
      <c r="E42">
        <v>5.86</v>
      </c>
    </row>
    <row r="43" spans="1:9" x14ac:dyDescent="0.35">
      <c r="A43" t="s">
        <v>1</v>
      </c>
      <c r="B43">
        <f>SUM(B39:B42)</f>
        <v>15</v>
      </c>
      <c r="C43">
        <f>SUM(C39:C42)</f>
        <v>302.70999999999998</v>
      </c>
    </row>
  </sheetData>
  <mergeCells count="2">
    <mergeCell ref="B1:E1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ANOVAkodLatinKvadrata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Milos Petrovic</cp:lastModifiedBy>
  <cp:lastPrinted>2022-05-27T07:51:49Z</cp:lastPrinted>
  <dcterms:created xsi:type="dcterms:W3CDTF">2018-07-13T09:07:02Z</dcterms:created>
  <dcterms:modified xsi:type="dcterms:W3CDTF">2025-12-17T18:46:00Z</dcterms:modified>
</cp:coreProperties>
</file>