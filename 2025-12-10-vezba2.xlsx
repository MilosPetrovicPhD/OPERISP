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13_ncr:1_{12C764FD-631A-42F5-8118-8A53050DA511}" xr6:coauthVersionLast="47" xr6:coauthVersionMax="47" xr10:uidLastSave="{00000000-0000-0000-0000-000000000000}"/>
  <bookViews>
    <workbookView xWindow="-110" yWindow="-110" windowWidth="19420" windowHeight="10560" xr2:uid="{ABAC168F-5B22-4373-9B38-892260FDD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F21" i="1"/>
  <c r="F22" i="1"/>
  <c r="E22" i="1"/>
  <c r="E21" i="1"/>
  <c r="C24" i="1"/>
  <c r="H4" i="1"/>
  <c r="H10" i="1" s="1"/>
  <c r="B17" i="1"/>
  <c r="B16" i="1"/>
  <c r="B15" i="1"/>
  <c r="N10" i="1"/>
  <c r="N5" i="1"/>
  <c r="N6" i="1"/>
  <c r="N7" i="1"/>
  <c r="N8" i="1"/>
  <c r="N9" i="1"/>
  <c r="N4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J5" i="1"/>
  <c r="J6" i="1"/>
  <c r="J7" i="1"/>
  <c r="J8" i="1"/>
  <c r="J9" i="1"/>
  <c r="J4" i="1"/>
  <c r="B14" i="1"/>
  <c r="B13" i="1"/>
  <c r="G10" i="1"/>
  <c r="D10" i="1"/>
  <c r="E10" i="1"/>
  <c r="F10" i="1"/>
  <c r="C10" i="1"/>
  <c r="H5" i="1"/>
  <c r="H6" i="1"/>
  <c r="H7" i="1"/>
  <c r="H8" i="1"/>
  <c r="H9" i="1"/>
  <c r="G5" i="1"/>
  <c r="G6" i="1"/>
  <c r="G7" i="1"/>
  <c r="G8" i="1"/>
  <c r="G9" i="1"/>
  <c r="G4" i="1"/>
</calcChain>
</file>

<file path=xl/sharedStrings.xml><?xml version="1.0" encoding="utf-8"?>
<sst xmlns="http://schemas.openxmlformats.org/spreadsheetml/2006/main" count="32" uniqueCount="29">
  <si>
    <t>Sorte</t>
  </si>
  <si>
    <t>NS - 2</t>
  </si>
  <si>
    <t>SP</t>
  </si>
  <si>
    <t>NS - 8</t>
  </si>
  <si>
    <t>NS - 10</t>
  </si>
  <si>
    <t>NS - 16</t>
  </si>
  <si>
    <t>NS - 34</t>
  </si>
  <si>
    <t xml:space="preserve"> ͞x</t>
  </si>
  <si>
    <t>Ukupno:</t>
  </si>
  <si>
    <t>Korektivni faktor C =</t>
  </si>
  <si>
    <t>Suma kvadrata totala =</t>
  </si>
  <si>
    <t>Suma kvadrata blokova =</t>
  </si>
  <si>
    <t>Suma kvadrata tretmana =</t>
  </si>
  <si>
    <t>Izvori
varijacije</t>
  </si>
  <si>
    <t>Suma
kvadrata</t>
  </si>
  <si>
    <t>Stepeni
slobode</t>
  </si>
  <si>
    <t>Sredina
kvadrata</t>
  </si>
  <si>
    <t>F</t>
  </si>
  <si>
    <t>F-tabela 5%</t>
  </si>
  <si>
    <t>Blokovi</t>
  </si>
  <si>
    <t>Tretmani</t>
  </si>
  <si>
    <t>Iz TAB.9.2. na strani 224 knjige Statisticki metodi</t>
  </si>
  <si>
    <t>Primer. Tab.9.3. sa strane 225
iz knjige Statisticki metodi</t>
  </si>
  <si>
    <t>nu2=</t>
  </si>
  <si>
    <t>nu1=</t>
  </si>
  <si>
    <t>1-alpha=</t>
  </si>
  <si>
    <t>KOMENTAR:
vrednost 0,029 je dobijena tako sto smo
podelili vrednost iz celije C23
sa vrednoscu iz celije D23
pri cemu smo izvrsili zaokruzivanje
na tri decimale</t>
  </si>
  <si>
    <t>Suma kvadrata greske =</t>
  </si>
  <si>
    <t>Greska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</si>
</sst>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1" fillId="0" borderId="8" xfId="0" applyFon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A75C-8FBB-40F8-B28B-AD343BB8954B}">
  <dimension ref="A1:N24"/>
  <sheetViews>
    <sheetView tabSelected="1" workbookViewId="0"/>
  </sheetViews>
  <sheetFormatPr defaultRowHeight="14.5" x14ac:dyDescent="0.35"/>
  <cols>
    <col min="1" max="1" width="25.90625" bestFit="1" customWidth="1"/>
    <col min="6" max="6" width="11.81640625" bestFit="1" customWidth="1"/>
    <col min="7" max="7" width="34.36328125" bestFit="1" customWidth="1"/>
  </cols>
  <sheetData>
    <row r="1" spans="1:14" ht="43.5" x14ac:dyDescent="0.35">
      <c r="A1" s="16" t="s">
        <v>22</v>
      </c>
    </row>
    <row r="2" spans="1:14" ht="15" thickBot="1" x14ac:dyDescent="0.4"/>
    <row r="3" spans="1:14" ht="15.5" thickTop="1" thickBot="1" x14ac:dyDescent="0.4">
      <c r="B3" s="11" t="s">
        <v>0</v>
      </c>
      <c r="C3" s="9">
        <v>1</v>
      </c>
      <c r="D3" s="9">
        <v>2</v>
      </c>
      <c r="E3" s="9">
        <v>3</v>
      </c>
      <c r="F3" s="10">
        <v>4</v>
      </c>
      <c r="G3" s="11" t="s">
        <v>8</v>
      </c>
      <c r="H3" s="12" t="s">
        <v>7</v>
      </c>
      <c r="N3" t="s">
        <v>8</v>
      </c>
    </row>
    <row r="4" spans="1:14" x14ac:dyDescent="0.35">
      <c r="B4" s="13" t="s">
        <v>1</v>
      </c>
      <c r="C4">
        <v>3.702</v>
      </c>
      <c r="D4">
        <v>3.762</v>
      </c>
      <c r="E4">
        <v>3.2709999999999999</v>
      </c>
      <c r="F4" s="3">
        <v>3.46</v>
      </c>
      <c r="G4" s="6">
        <f>SUM(C4:F4)</f>
        <v>14.195</v>
      </c>
      <c r="H4" s="6">
        <f>AVERAGE(C4:F4)</f>
        <v>3.5487500000000001</v>
      </c>
      <c r="J4">
        <f>C4^2</f>
        <v>13.704803999999999</v>
      </c>
      <c r="K4">
        <f t="shared" ref="K4:M9" si="0">D4^2</f>
        <v>14.152644</v>
      </c>
      <c r="L4">
        <f t="shared" si="0"/>
        <v>10.699441</v>
      </c>
      <c r="M4">
        <f t="shared" si="0"/>
        <v>11.9716</v>
      </c>
      <c r="N4">
        <f>SUM(J4:M4)</f>
        <v>50.528489</v>
      </c>
    </row>
    <row r="5" spans="1:14" x14ac:dyDescent="0.35">
      <c r="B5" s="6" t="s">
        <v>3</v>
      </c>
      <c r="C5">
        <v>3.1840000000000002</v>
      </c>
      <c r="D5">
        <v>3.29</v>
      </c>
      <c r="E5">
        <v>2.8889999999999998</v>
      </c>
      <c r="F5" s="3">
        <v>2.855</v>
      </c>
      <c r="G5" s="6">
        <f t="shared" ref="G5:G9" si="1">SUM(C5:F5)</f>
        <v>12.218</v>
      </c>
      <c r="H5" s="6">
        <f t="shared" ref="H5:H9" si="2">AVERAGE(C5:F5)</f>
        <v>3.0545</v>
      </c>
      <c r="J5">
        <f t="shared" ref="J5:J9" si="3">C5^2</f>
        <v>10.137856000000001</v>
      </c>
      <c r="K5">
        <f t="shared" si="0"/>
        <v>10.8241</v>
      </c>
      <c r="L5">
        <f t="shared" si="0"/>
        <v>8.3463209999999997</v>
      </c>
      <c r="M5">
        <f t="shared" si="0"/>
        <v>8.1510250000000006</v>
      </c>
      <c r="N5">
        <f t="shared" ref="N5:N9" si="4">SUM(J5:M5)</f>
        <v>37.459302000000001</v>
      </c>
    </row>
    <row r="6" spans="1:14" x14ac:dyDescent="0.35">
      <c r="B6" s="6" t="s">
        <v>4</v>
      </c>
      <c r="C6">
        <v>3.86</v>
      </c>
      <c r="D6">
        <v>3.68</v>
      </c>
      <c r="E6">
        <v>3.46</v>
      </c>
      <c r="F6" s="3">
        <v>3.141</v>
      </c>
      <c r="G6" s="6">
        <f t="shared" si="1"/>
        <v>14.141</v>
      </c>
      <c r="H6" s="6">
        <f t="shared" si="2"/>
        <v>3.53525</v>
      </c>
      <c r="J6">
        <f t="shared" si="3"/>
        <v>14.8996</v>
      </c>
      <c r="K6">
        <f t="shared" si="0"/>
        <v>13.542400000000001</v>
      </c>
      <c r="L6">
        <f t="shared" si="0"/>
        <v>11.9716</v>
      </c>
      <c r="M6">
        <f t="shared" si="0"/>
        <v>9.8658809999999999</v>
      </c>
      <c r="N6">
        <f t="shared" si="4"/>
        <v>50.279481000000004</v>
      </c>
    </row>
    <row r="7" spans="1:14" x14ac:dyDescent="0.35">
      <c r="B7" s="6" t="s">
        <v>5</v>
      </c>
      <c r="C7">
        <v>4.13</v>
      </c>
      <c r="D7">
        <v>3.3730000000000002</v>
      </c>
      <c r="E7">
        <v>3.53</v>
      </c>
      <c r="F7" s="3">
        <v>3.7719999999999998</v>
      </c>
      <c r="G7" s="6">
        <f t="shared" si="1"/>
        <v>14.805</v>
      </c>
      <c r="H7" s="6">
        <f t="shared" si="2"/>
        <v>3.7012499999999999</v>
      </c>
      <c r="J7">
        <f t="shared" si="3"/>
        <v>17.056899999999999</v>
      </c>
      <c r="K7">
        <f t="shared" si="0"/>
        <v>11.377129000000002</v>
      </c>
      <c r="L7">
        <f t="shared" si="0"/>
        <v>12.460899999999999</v>
      </c>
      <c r="M7">
        <f t="shared" si="0"/>
        <v>14.227983999999999</v>
      </c>
      <c r="N7">
        <f t="shared" si="4"/>
        <v>55.122913000000004</v>
      </c>
    </row>
    <row r="8" spans="1:14" x14ac:dyDescent="0.35">
      <c r="B8" s="6" t="s">
        <v>6</v>
      </c>
      <c r="C8">
        <v>4.4029999999999996</v>
      </c>
      <c r="D8">
        <v>4.3079999999999998</v>
      </c>
      <c r="E8">
        <v>3.9289999999999998</v>
      </c>
      <c r="F8" s="3">
        <v>4.0549999999999997</v>
      </c>
      <c r="G8" s="6">
        <f t="shared" si="1"/>
        <v>16.695</v>
      </c>
      <c r="H8" s="6">
        <f t="shared" si="2"/>
        <v>4.1737500000000001</v>
      </c>
      <c r="J8">
        <f t="shared" si="3"/>
        <v>19.386408999999997</v>
      </c>
      <c r="K8">
        <f t="shared" si="0"/>
        <v>18.558864</v>
      </c>
      <c r="L8">
        <f t="shared" si="0"/>
        <v>15.437040999999999</v>
      </c>
      <c r="M8">
        <f t="shared" si="0"/>
        <v>16.443024999999999</v>
      </c>
      <c r="N8">
        <f t="shared" si="4"/>
        <v>69.825339</v>
      </c>
    </row>
    <row r="9" spans="1:14" ht="15" thickBot="1" x14ac:dyDescent="0.4">
      <c r="B9" s="7" t="s">
        <v>2</v>
      </c>
      <c r="C9" s="1">
        <v>3.7759999999999998</v>
      </c>
      <c r="D9" s="1">
        <v>3.4630000000000001</v>
      </c>
      <c r="E9" s="1">
        <v>3.3109999999999999</v>
      </c>
      <c r="F9" s="4">
        <v>3.2429999999999999</v>
      </c>
      <c r="G9" s="7">
        <f t="shared" si="1"/>
        <v>13.793000000000001</v>
      </c>
      <c r="H9" s="7">
        <f t="shared" si="2"/>
        <v>3.4482500000000003</v>
      </c>
      <c r="J9">
        <f t="shared" si="3"/>
        <v>14.258175999999999</v>
      </c>
      <c r="K9">
        <f t="shared" si="0"/>
        <v>11.992369</v>
      </c>
      <c r="L9">
        <f t="shared" si="0"/>
        <v>10.962721</v>
      </c>
      <c r="M9">
        <f t="shared" si="0"/>
        <v>10.517049</v>
      </c>
      <c r="N9">
        <f t="shared" si="4"/>
        <v>47.730314999999997</v>
      </c>
    </row>
    <row r="10" spans="1:14" ht="15" thickBot="1" x14ac:dyDescent="0.4">
      <c r="B10" s="14" t="s">
        <v>8</v>
      </c>
      <c r="C10" s="2">
        <f>SUM(C4:C9)</f>
        <v>23.055</v>
      </c>
      <c r="D10" s="2">
        <f t="shared" ref="D10:F10" si="5">SUM(D4:D9)</f>
        <v>21.876000000000001</v>
      </c>
      <c r="E10" s="2">
        <f t="shared" si="5"/>
        <v>20.39</v>
      </c>
      <c r="F10" s="5">
        <f t="shared" si="5"/>
        <v>20.526</v>
      </c>
      <c r="G10" s="14">
        <f t="shared" ref="G10" si="6">SUM(G4:G9)</f>
        <v>85.847000000000008</v>
      </c>
      <c r="H10" s="8">
        <f t="shared" ref="H10" si="7">SUM(H4:H9)</f>
        <v>21.461750000000002</v>
      </c>
      <c r="N10">
        <f>SUM(N4:N9)-B13</f>
        <v>3.8746969583332884</v>
      </c>
    </row>
    <row r="13" spans="1:14" x14ac:dyDescent="0.35">
      <c r="A13" s="15" t="s">
        <v>9</v>
      </c>
      <c r="B13">
        <f>G10^2/24</f>
        <v>307.07114204166675</v>
      </c>
    </row>
    <row r="14" spans="1:14" x14ac:dyDescent="0.35">
      <c r="A14" t="s">
        <v>10</v>
      </c>
      <c r="B14">
        <f>C4^2+D4^2+E4^2+F4^2+C5^2+D5^2+E5^2+F5^2+C6^2+D6^2+E6^2+F6^2+C7^2+D7^2+E7^2+F7^2+C8^2+D8^2+E8^2+F8^2+C9^2+D9^2+E9^2+F9^2-B13</f>
        <v>3.8746969583332316</v>
      </c>
    </row>
    <row r="15" spans="1:14" x14ac:dyDescent="0.35">
      <c r="A15" t="s">
        <v>11</v>
      </c>
      <c r="B15" s="19">
        <f>(C10^2+D10^2+E10^2+F10^2)/6-B13</f>
        <v>0.78905412499989325</v>
      </c>
    </row>
    <row r="16" spans="1:14" x14ac:dyDescent="0.35">
      <c r="A16" t="s">
        <v>12</v>
      </c>
      <c r="B16" s="18">
        <f>(G4^2+G5^2+G6^2+G7^2+G8^2+G9^2)/4-B13</f>
        <v>2.6546902083333066</v>
      </c>
    </row>
    <row r="17" spans="1:11" x14ac:dyDescent="0.35">
      <c r="A17" t="s">
        <v>27</v>
      </c>
      <c r="B17" s="17">
        <f>B14-B15-B16</f>
        <v>0.43095262500003173</v>
      </c>
    </row>
    <row r="19" spans="1:11" x14ac:dyDescent="0.35">
      <c r="B19" t="s">
        <v>21</v>
      </c>
    </row>
    <row r="20" spans="1:11" ht="29" x14ac:dyDescent="0.35">
      <c r="B20" s="16" t="s">
        <v>13</v>
      </c>
      <c r="C20" s="16" t="s">
        <v>14</v>
      </c>
      <c r="D20" s="16" t="s">
        <v>15</v>
      </c>
      <c r="E20" s="16" t="s">
        <v>16</v>
      </c>
      <c r="F20" s="16" t="s">
        <v>17</v>
      </c>
      <c r="G20" s="16" t="s">
        <v>18</v>
      </c>
    </row>
    <row r="21" spans="1:11" x14ac:dyDescent="0.35">
      <c r="B21" t="s">
        <v>19</v>
      </c>
      <c r="C21" s="19">
        <v>0.78900000000000003</v>
      </c>
      <c r="D21">
        <v>3</v>
      </c>
      <c r="E21">
        <f>C21/D21</f>
        <v>0.26300000000000001</v>
      </c>
      <c r="F21">
        <f>E21/$E$23</f>
        <v>9.068965517241379</v>
      </c>
      <c r="G21">
        <f>_xlfn.F.INV(J21,J22,J23)</f>
        <v>3.2873821046365075</v>
      </c>
      <c r="I21" t="s">
        <v>25</v>
      </c>
      <c r="J21">
        <v>0.95</v>
      </c>
      <c r="K21">
        <v>0.95</v>
      </c>
    </row>
    <row r="22" spans="1:11" x14ac:dyDescent="0.35">
      <c r="B22" t="s">
        <v>20</v>
      </c>
      <c r="C22" s="18">
        <v>2.6549999999999998</v>
      </c>
      <c r="D22">
        <v>5</v>
      </c>
      <c r="E22">
        <f t="shared" ref="E22" si="8">C22/D22</f>
        <v>0.53099999999999992</v>
      </c>
      <c r="F22">
        <f>E22/$E$23</f>
        <v>18.310344827586203</v>
      </c>
      <c r="G22">
        <f>_xlfn.F.INV(K21,K22,K23)</f>
        <v>2.9012945362361564</v>
      </c>
      <c r="I22" t="s">
        <v>24</v>
      </c>
      <c r="J22">
        <v>3</v>
      </c>
      <c r="K22">
        <v>5</v>
      </c>
    </row>
    <row r="23" spans="1:11" ht="87" x14ac:dyDescent="0.35">
      <c r="B23" t="s">
        <v>28</v>
      </c>
      <c r="C23" s="17">
        <v>0.43099999999999999</v>
      </c>
      <c r="D23">
        <v>15</v>
      </c>
      <c r="E23" s="20">
        <v>2.9000000000000001E-2</v>
      </c>
      <c r="G23" s="16" t="s">
        <v>26</v>
      </c>
      <c r="I23" t="s">
        <v>23</v>
      </c>
      <c r="J23">
        <v>15</v>
      </c>
      <c r="K23">
        <v>15</v>
      </c>
    </row>
    <row r="24" spans="1:11" x14ac:dyDescent="0.35">
      <c r="B24" t="s">
        <v>8</v>
      </c>
      <c r="C24">
        <f>SUM(C21:C23)</f>
        <v>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Milos-T460</dc:creator>
  <cp:lastModifiedBy>Milos Petrovic</cp:lastModifiedBy>
  <dcterms:created xsi:type="dcterms:W3CDTF">2022-12-12T13:11:30Z</dcterms:created>
  <dcterms:modified xsi:type="dcterms:W3CDTF">2025-12-10T18:48:12Z</dcterms:modified>
</cp:coreProperties>
</file>