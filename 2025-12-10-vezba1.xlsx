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-Nastava\!!Master_studije\!!!Osnov_princ_eksp_rada_i_inf_sistemi\2025\Vezbe\"/>
    </mc:Choice>
  </mc:AlternateContent>
  <xr:revisionPtr revIDLastSave="0" documentId="13_ncr:1_{85E81248-F2D5-4D35-B629-06B177CBDEA7}" xr6:coauthVersionLast="47" xr6:coauthVersionMax="47" xr10:uidLastSave="{00000000-0000-0000-0000-000000000000}"/>
  <bookViews>
    <workbookView xWindow="-110" yWindow="-110" windowWidth="19420" windowHeight="10560" xr2:uid="{D294B4D4-6496-49B7-B826-C2323CD677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9" i="1" l="1"/>
  <c r="Q28" i="1"/>
  <c r="Q27" i="1"/>
  <c r="Q26" i="1"/>
  <c r="I23" i="1"/>
  <c r="I22" i="1"/>
  <c r="I24" i="1"/>
  <c r="Q25" i="1"/>
  <c r="Q24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3" i="1"/>
  <c r="Q2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C13" i="1"/>
  <c r="C9" i="1"/>
  <c r="C10" i="1"/>
  <c r="I4" i="1"/>
  <c r="I18" i="1" s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3" i="1"/>
  <c r="I20" i="1" l="1"/>
  <c r="J3" i="1"/>
  <c r="I19" i="1"/>
  <c r="I21" i="1" s="1"/>
</calcChain>
</file>

<file path=xl/sharedStrings.xml><?xml version="1.0" encoding="utf-8"?>
<sst xmlns="http://schemas.openxmlformats.org/spreadsheetml/2006/main" count="35" uniqueCount="26">
  <si>
    <t>Parcela</t>
  </si>
  <si>
    <t>Prinos</t>
  </si>
  <si>
    <t>Ukupno:</t>
  </si>
  <si>
    <t>N=</t>
  </si>
  <si>
    <t>n=</t>
  </si>
  <si>
    <t>Redni broj</t>
  </si>
  <si>
    <t>Prvi clan
uzorka</t>
  </si>
  <si>
    <t>Drugi clan
uzorka</t>
  </si>
  <si>
    <t>Uzoracke
aritmeticke
sredine</t>
  </si>
  <si>
    <t xml:space="preserve"> ͞xi-μ</t>
  </si>
  <si>
    <t>μ=</t>
  </si>
  <si>
    <t xml:space="preserve"> (͞xi-μ)^2</t>
  </si>
  <si>
    <t>Aritmeticka sredina
uzorackih aritmetickih
sredina=</t>
  </si>
  <si>
    <t>Minimalna uzoracka
aritmeticka sredina=</t>
  </si>
  <si>
    <t>Maksimalna uzoracka
aritmeticka sredina=</t>
  </si>
  <si>
    <t>Razmak varijacije
uzorackih aritmetickih
sredina=</t>
  </si>
  <si>
    <t>Treci clan
uzorka</t>
  </si>
  <si>
    <t>Min=</t>
  </si>
  <si>
    <t>Max=</t>
  </si>
  <si>
    <t>STDEV.S=</t>
  </si>
  <si>
    <t>S^2=</t>
  </si>
  <si>
    <t>S=</t>
  </si>
  <si>
    <t>Iv=</t>
  </si>
  <si>
    <t>Broj svih mogucih
kombinacija za n=2 I N=6</t>
  </si>
  <si>
    <t>Broj svih mogucih
kombinacija za n=3 I N=6</t>
  </si>
  <si>
    <t>Arit. Sred. uzor.
Arit. Sred.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</si>
</sst>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 applyAlignment="1">
      <alignment horizontal="center"/>
    </xf>
    <xf numFmtId="0" fontId="0" fillId="3" borderId="0" xfId="0" applyFill="1" applyAlignment="1">
      <alignment wrapText="1"/>
    </xf>
    <xf numFmtId="0" fontId="0" fillId="2" borderId="0" xfId="0" applyFill="1" applyAlignment="1">
      <alignment horizontal="center"/>
    </xf>
    <xf numFmtId="0" fontId="1" fillId="3" borderId="0" xfId="0" applyFont="1" applyFill="1" applyAlignment="1">
      <alignment horizontal="center" wrapText="1"/>
    </xf>
    <xf numFmtId="0" fontId="1" fillId="0" borderId="0" xfId="0" applyFont="1" applyAlignment="1">
      <alignment horizontal="right" wrapText="1"/>
    </xf>
    <xf numFmtId="0" fontId="0" fillId="0" borderId="0" xfId="0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3A793-6ECB-42AB-87AF-C7FACE69410C}">
  <dimension ref="B2:S29"/>
  <sheetViews>
    <sheetView tabSelected="1" topLeftCell="C17" workbookViewId="0">
      <selection activeCell="P24" sqref="P24"/>
    </sheetView>
  </sheetViews>
  <sheetFormatPr defaultRowHeight="14.5" x14ac:dyDescent="0.35"/>
  <cols>
    <col min="2" max="2" width="28.453125" customWidth="1"/>
    <col min="8" max="8" width="12.7265625" customWidth="1"/>
    <col min="9" max="9" width="12.08984375" customWidth="1"/>
    <col min="10" max="10" width="10.90625" customWidth="1"/>
    <col min="16" max="16" width="20.08984375" customWidth="1"/>
  </cols>
  <sheetData>
    <row r="2" spans="2:19" ht="58" x14ac:dyDescent="0.35">
      <c r="B2" s="1" t="s">
        <v>0</v>
      </c>
      <c r="C2" s="1" t="s">
        <v>1</v>
      </c>
      <c r="F2" s="5" t="s">
        <v>5</v>
      </c>
      <c r="G2" s="6" t="s">
        <v>6</v>
      </c>
      <c r="H2" s="6" t="s">
        <v>7</v>
      </c>
      <c r="I2" s="6" t="s">
        <v>8</v>
      </c>
      <c r="J2" s="8" t="s">
        <v>9</v>
      </c>
      <c r="K2" s="8" t="s">
        <v>11</v>
      </c>
      <c r="M2" s="5" t="s">
        <v>5</v>
      </c>
      <c r="N2" s="6" t="s">
        <v>6</v>
      </c>
      <c r="O2" s="6" t="s">
        <v>7</v>
      </c>
      <c r="P2" s="6" t="s">
        <v>16</v>
      </c>
      <c r="Q2" s="6" t="s">
        <v>8</v>
      </c>
      <c r="R2" s="8" t="s">
        <v>9</v>
      </c>
      <c r="S2" s="8" t="s">
        <v>11</v>
      </c>
    </row>
    <row r="3" spans="2:19" x14ac:dyDescent="0.35">
      <c r="B3">
        <v>1</v>
      </c>
      <c r="C3" s="4">
        <v>16</v>
      </c>
      <c r="F3" s="5">
        <v>1</v>
      </c>
      <c r="G3" s="7">
        <v>16</v>
      </c>
      <c r="H3" s="7">
        <v>20</v>
      </c>
      <c r="I3" s="1">
        <f>AVERAGE(G3:H3)</f>
        <v>18</v>
      </c>
      <c r="J3" s="1">
        <f>I3-$C$10</f>
        <v>0</v>
      </c>
      <c r="K3" s="1">
        <f>J3^2</f>
        <v>0</v>
      </c>
      <c r="M3" s="5">
        <v>1</v>
      </c>
      <c r="N3" s="4">
        <v>16</v>
      </c>
      <c r="O3" s="4">
        <v>20</v>
      </c>
      <c r="P3" s="4">
        <v>17</v>
      </c>
      <c r="Q3">
        <f>AVERAGE(N3:P3)</f>
        <v>17.666666666666668</v>
      </c>
      <c r="R3">
        <f>Q3-$C$10</f>
        <v>-0.33333333333333215</v>
      </c>
      <c r="S3">
        <f>R3^2</f>
        <v>0.11111111111111033</v>
      </c>
    </row>
    <row r="4" spans="2:19" x14ac:dyDescent="0.35">
      <c r="B4">
        <v>2</v>
      </c>
      <c r="C4" s="4">
        <v>20</v>
      </c>
      <c r="F4" s="5">
        <v>2</v>
      </c>
      <c r="G4" s="7">
        <v>16</v>
      </c>
      <c r="H4" s="7">
        <v>17</v>
      </c>
      <c r="I4" s="1">
        <f t="shared" ref="I4:I17" si="0">AVERAGE(G4:H4)</f>
        <v>16.5</v>
      </c>
      <c r="J4" s="1">
        <f t="shared" ref="J4:J17" si="1">I4-$C$10</f>
        <v>-1.5</v>
      </c>
      <c r="K4" s="1">
        <f t="shared" ref="K4:K17" si="2">J4^2</f>
        <v>2.25</v>
      </c>
      <c r="M4" s="5">
        <v>2</v>
      </c>
      <c r="N4" s="4">
        <v>16</v>
      </c>
      <c r="O4" s="4">
        <v>20</v>
      </c>
      <c r="P4" s="4">
        <v>19</v>
      </c>
      <c r="Q4">
        <f t="shared" ref="Q4:Q22" si="3">AVERAGE(N4:P4)</f>
        <v>18.333333333333332</v>
      </c>
      <c r="R4">
        <f t="shared" ref="R4:R22" si="4">Q4-$C$10</f>
        <v>0.33333333333333215</v>
      </c>
      <c r="S4">
        <f t="shared" ref="S4:S22" si="5">R4^2</f>
        <v>0.11111111111111033</v>
      </c>
    </row>
    <row r="5" spans="2:19" x14ac:dyDescent="0.35">
      <c r="B5">
        <v>3</v>
      </c>
      <c r="C5" s="4">
        <v>17</v>
      </c>
      <c r="F5" s="5">
        <v>3</v>
      </c>
      <c r="G5" s="7">
        <v>16</v>
      </c>
      <c r="H5" s="7">
        <v>19</v>
      </c>
      <c r="I5" s="1">
        <f t="shared" si="0"/>
        <v>17.5</v>
      </c>
      <c r="J5" s="1">
        <f t="shared" si="1"/>
        <v>-0.5</v>
      </c>
      <c r="K5" s="1">
        <f t="shared" si="2"/>
        <v>0.25</v>
      </c>
      <c r="M5" s="5">
        <v>3</v>
      </c>
      <c r="N5" s="4">
        <v>16</v>
      </c>
      <c r="O5" s="4">
        <v>20</v>
      </c>
      <c r="P5" s="4">
        <v>13</v>
      </c>
      <c r="Q5">
        <f t="shared" si="3"/>
        <v>16.333333333333332</v>
      </c>
      <c r="R5">
        <f t="shared" si="4"/>
        <v>-1.6666666666666679</v>
      </c>
      <c r="S5">
        <f t="shared" si="5"/>
        <v>2.7777777777777817</v>
      </c>
    </row>
    <row r="6" spans="2:19" x14ac:dyDescent="0.35">
      <c r="B6">
        <v>4</v>
      </c>
      <c r="C6" s="4">
        <v>19</v>
      </c>
      <c r="F6" s="5">
        <v>4</v>
      </c>
      <c r="G6" s="7">
        <v>16</v>
      </c>
      <c r="H6" s="7">
        <v>13</v>
      </c>
      <c r="I6" s="1">
        <f t="shared" si="0"/>
        <v>14.5</v>
      </c>
      <c r="J6" s="1">
        <f t="shared" si="1"/>
        <v>-3.5</v>
      </c>
      <c r="K6" s="1">
        <f t="shared" si="2"/>
        <v>12.25</v>
      </c>
      <c r="M6" s="5">
        <v>4</v>
      </c>
      <c r="N6" s="4">
        <v>16</v>
      </c>
      <c r="O6" s="4">
        <v>20</v>
      </c>
      <c r="P6" s="4">
        <v>23</v>
      </c>
      <c r="Q6">
        <f t="shared" si="3"/>
        <v>19.666666666666668</v>
      </c>
      <c r="R6">
        <f t="shared" si="4"/>
        <v>1.6666666666666679</v>
      </c>
      <c r="S6">
        <f t="shared" si="5"/>
        <v>2.7777777777777817</v>
      </c>
    </row>
    <row r="7" spans="2:19" x14ac:dyDescent="0.35">
      <c r="B7">
        <v>5</v>
      </c>
      <c r="C7" s="4">
        <v>13</v>
      </c>
      <c r="F7" s="5">
        <v>5</v>
      </c>
      <c r="G7" s="7">
        <v>16</v>
      </c>
      <c r="H7" s="7">
        <v>23</v>
      </c>
      <c r="I7" s="1">
        <f t="shared" si="0"/>
        <v>19.5</v>
      </c>
      <c r="J7" s="1">
        <f t="shared" si="1"/>
        <v>1.5</v>
      </c>
      <c r="K7" s="1">
        <f t="shared" si="2"/>
        <v>2.25</v>
      </c>
      <c r="M7" s="5">
        <v>5</v>
      </c>
      <c r="N7" s="4">
        <v>16</v>
      </c>
      <c r="O7" s="4">
        <v>17</v>
      </c>
      <c r="P7" s="4">
        <v>19</v>
      </c>
      <c r="Q7">
        <f t="shared" si="3"/>
        <v>17.333333333333332</v>
      </c>
      <c r="R7">
        <f t="shared" si="4"/>
        <v>-0.66666666666666785</v>
      </c>
      <c r="S7">
        <f t="shared" si="5"/>
        <v>0.44444444444444603</v>
      </c>
    </row>
    <row r="8" spans="2:19" x14ac:dyDescent="0.35">
      <c r="B8">
        <v>6</v>
      </c>
      <c r="C8" s="4">
        <v>23</v>
      </c>
      <c r="F8" s="5">
        <v>6</v>
      </c>
      <c r="G8" s="7">
        <v>20</v>
      </c>
      <c r="H8" s="7">
        <v>17</v>
      </c>
      <c r="I8" s="1">
        <f t="shared" si="0"/>
        <v>18.5</v>
      </c>
      <c r="J8" s="1">
        <f t="shared" si="1"/>
        <v>0.5</v>
      </c>
      <c r="K8" s="1">
        <f t="shared" si="2"/>
        <v>0.25</v>
      </c>
      <c r="M8" s="5">
        <v>6</v>
      </c>
      <c r="N8" s="4">
        <v>16</v>
      </c>
      <c r="O8" s="4">
        <v>17</v>
      </c>
      <c r="P8" s="4">
        <v>13</v>
      </c>
      <c r="Q8">
        <f t="shared" si="3"/>
        <v>15.333333333333334</v>
      </c>
      <c r="R8">
        <f t="shared" si="4"/>
        <v>-2.6666666666666661</v>
      </c>
      <c r="S8">
        <f t="shared" si="5"/>
        <v>7.1111111111111081</v>
      </c>
    </row>
    <row r="9" spans="2:19" x14ac:dyDescent="0.35">
      <c r="B9" s="2" t="s">
        <v>2</v>
      </c>
      <c r="C9">
        <f>SUM(C3:C8)</f>
        <v>108</v>
      </c>
      <c r="F9" s="5">
        <v>7</v>
      </c>
      <c r="G9" s="7">
        <v>20</v>
      </c>
      <c r="H9" s="7">
        <v>19</v>
      </c>
      <c r="I9" s="1">
        <f t="shared" si="0"/>
        <v>19.5</v>
      </c>
      <c r="J9" s="1">
        <f t="shared" si="1"/>
        <v>1.5</v>
      </c>
      <c r="K9" s="1">
        <f t="shared" si="2"/>
        <v>2.25</v>
      </c>
      <c r="M9" s="5">
        <v>7</v>
      </c>
      <c r="N9" s="4">
        <v>16</v>
      </c>
      <c r="O9" s="4">
        <v>17</v>
      </c>
      <c r="P9" s="4">
        <v>23</v>
      </c>
      <c r="Q9">
        <f t="shared" si="3"/>
        <v>18.666666666666668</v>
      </c>
      <c r="R9">
        <f t="shared" si="4"/>
        <v>0.66666666666666785</v>
      </c>
      <c r="S9">
        <f t="shared" si="5"/>
        <v>0.44444444444444603</v>
      </c>
    </row>
    <row r="10" spans="2:19" x14ac:dyDescent="0.35">
      <c r="B10" s="2" t="s">
        <v>10</v>
      </c>
      <c r="C10">
        <f>AVERAGE(C3:C8)</f>
        <v>18</v>
      </c>
      <c r="F10" s="5">
        <v>8</v>
      </c>
      <c r="G10" s="7">
        <v>20</v>
      </c>
      <c r="H10" s="7">
        <v>13</v>
      </c>
      <c r="I10" s="1">
        <f t="shared" si="0"/>
        <v>16.5</v>
      </c>
      <c r="J10" s="1">
        <f t="shared" si="1"/>
        <v>-1.5</v>
      </c>
      <c r="K10" s="1">
        <f t="shared" si="2"/>
        <v>2.25</v>
      </c>
      <c r="M10" s="5">
        <v>8</v>
      </c>
      <c r="N10" s="4">
        <v>16</v>
      </c>
      <c r="O10" s="4">
        <v>19</v>
      </c>
      <c r="P10" s="4">
        <v>13</v>
      </c>
      <c r="Q10">
        <f t="shared" si="3"/>
        <v>16</v>
      </c>
      <c r="R10">
        <f t="shared" si="4"/>
        <v>-2</v>
      </c>
      <c r="S10">
        <f t="shared" si="5"/>
        <v>4</v>
      </c>
    </row>
    <row r="11" spans="2:19" x14ac:dyDescent="0.35">
      <c r="B11" s="2" t="s">
        <v>3</v>
      </c>
      <c r="C11">
        <v>6</v>
      </c>
      <c r="F11" s="5">
        <v>9</v>
      </c>
      <c r="G11" s="7">
        <v>20</v>
      </c>
      <c r="H11" s="7">
        <v>23</v>
      </c>
      <c r="I11" s="1">
        <f t="shared" si="0"/>
        <v>21.5</v>
      </c>
      <c r="J11" s="1">
        <f t="shared" si="1"/>
        <v>3.5</v>
      </c>
      <c r="K11" s="1">
        <f t="shared" si="2"/>
        <v>12.25</v>
      </c>
      <c r="M11" s="5">
        <v>9</v>
      </c>
      <c r="N11" s="4">
        <v>16</v>
      </c>
      <c r="O11" s="4">
        <v>19</v>
      </c>
      <c r="P11" s="4">
        <v>23</v>
      </c>
      <c r="Q11">
        <f t="shared" si="3"/>
        <v>19.333333333333332</v>
      </c>
      <c r="R11">
        <f t="shared" si="4"/>
        <v>1.3333333333333321</v>
      </c>
      <c r="S11">
        <f t="shared" si="5"/>
        <v>1.7777777777777746</v>
      </c>
    </row>
    <row r="12" spans="2:19" x14ac:dyDescent="0.35">
      <c r="B12" s="2" t="s">
        <v>4</v>
      </c>
      <c r="C12">
        <v>2</v>
      </c>
      <c r="F12" s="5">
        <v>10</v>
      </c>
      <c r="G12" s="7">
        <v>17</v>
      </c>
      <c r="H12" s="7">
        <v>19</v>
      </c>
      <c r="I12" s="1">
        <f t="shared" si="0"/>
        <v>18</v>
      </c>
      <c r="J12" s="1">
        <f t="shared" si="1"/>
        <v>0</v>
      </c>
      <c r="K12" s="1">
        <f t="shared" si="2"/>
        <v>0</v>
      </c>
      <c r="M12" s="5">
        <v>10</v>
      </c>
      <c r="N12" s="4">
        <v>16</v>
      </c>
      <c r="O12" s="4">
        <v>13</v>
      </c>
      <c r="P12" s="4">
        <v>23</v>
      </c>
      <c r="Q12">
        <f t="shared" si="3"/>
        <v>17.333333333333332</v>
      </c>
      <c r="R12">
        <f t="shared" si="4"/>
        <v>-0.66666666666666785</v>
      </c>
      <c r="S12">
        <f t="shared" si="5"/>
        <v>0.44444444444444603</v>
      </c>
    </row>
    <row r="13" spans="2:19" ht="29" customHeight="1" x14ac:dyDescent="0.35">
      <c r="B13" s="3" t="s">
        <v>23</v>
      </c>
      <c r="C13">
        <f>COMBIN(C11,C12)</f>
        <v>15</v>
      </c>
      <c r="F13" s="5">
        <v>11</v>
      </c>
      <c r="G13" s="7">
        <v>17</v>
      </c>
      <c r="H13" s="7">
        <v>13</v>
      </c>
      <c r="I13" s="1">
        <f t="shared" si="0"/>
        <v>15</v>
      </c>
      <c r="J13" s="1">
        <f t="shared" si="1"/>
        <v>-3</v>
      </c>
      <c r="K13" s="1">
        <f t="shared" si="2"/>
        <v>9</v>
      </c>
      <c r="M13" s="5">
        <v>11</v>
      </c>
      <c r="N13" s="4">
        <v>20</v>
      </c>
      <c r="O13" s="4">
        <v>17</v>
      </c>
      <c r="P13" s="4">
        <v>19</v>
      </c>
      <c r="Q13">
        <f t="shared" si="3"/>
        <v>18.666666666666668</v>
      </c>
      <c r="R13">
        <f t="shared" si="4"/>
        <v>0.66666666666666785</v>
      </c>
      <c r="S13">
        <f t="shared" si="5"/>
        <v>0.44444444444444603</v>
      </c>
    </row>
    <row r="14" spans="2:19" ht="29" x14ac:dyDescent="0.35">
      <c r="B14" s="3" t="s">
        <v>24</v>
      </c>
      <c r="F14" s="5">
        <v>12</v>
      </c>
      <c r="G14" s="7">
        <v>17</v>
      </c>
      <c r="H14" s="7">
        <v>23</v>
      </c>
      <c r="I14" s="1">
        <f t="shared" si="0"/>
        <v>20</v>
      </c>
      <c r="J14" s="1">
        <f t="shared" si="1"/>
        <v>2</v>
      </c>
      <c r="K14" s="1">
        <f t="shared" si="2"/>
        <v>4</v>
      </c>
      <c r="M14" s="5">
        <v>12</v>
      </c>
      <c r="N14" s="4">
        <v>20</v>
      </c>
      <c r="O14" s="4">
        <v>17</v>
      </c>
      <c r="P14" s="4">
        <v>13</v>
      </c>
      <c r="Q14">
        <f t="shared" si="3"/>
        <v>16.666666666666668</v>
      </c>
      <c r="R14">
        <f t="shared" si="4"/>
        <v>-1.3333333333333321</v>
      </c>
      <c r="S14">
        <f t="shared" si="5"/>
        <v>1.7777777777777746</v>
      </c>
    </row>
    <row r="15" spans="2:19" x14ac:dyDescent="0.35">
      <c r="F15" s="5">
        <v>13</v>
      </c>
      <c r="G15" s="7">
        <v>19</v>
      </c>
      <c r="H15" s="7">
        <v>13</v>
      </c>
      <c r="I15" s="1">
        <f t="shared" si="0"/>
        <v>16</v>
      </c>
      <c r="J15" s="1">
        <f t="shared" si="1"/>
        <v>-2</v>
      </c>
      <c r="K15" s="1">
        <f t="shared" si="2"/>
        <v>4</v>
      </c>
      <c r="M15" s="5">
        <v>13</v>
      </c>
      <c r="N15" s="4">
        <v>20</v>
      </c>
      <c r="O15" s="4">
        <v>17</v>
      </c>
      <c r="P15" s="4">
        <v>23</v>
      </c>
      <c r="Q15">
        <f t="shared" si="3"/>
        <v>20</v>
      </c>
      <c r="R15">
        <f t="shared" si="4"/>
        <v>2</v>
      </c>
      <c r="S15">
        <f t="shared" si="5"/>
        <v>4</v>
      </c>
    </row>
    <row r="16" spans="2:19" x14ac:dyDescent="0.35">
      <c r="F16" s="5">
        <v>14</v>
      </c>
      <c r="G16" s="7">
        <v>19</v>
      </c>
      <c r="H16" s="7">
        <v>23</v>
      </c>
      <c r="I16" s="1">
        <f t="shared" si="0"/>
        <v>21</v>
      </c>
      <c r="J16" s="1">
        <f t="shared" si="1"/>
        <v>3</v>
      </c>
      <c r="K16" s="1">
        <f t="shared" si="2"/>
        <v>9</v>
      </c>
      <c r="M16" s="5">
        <v>14</v>
      </c>
      <c r="N16" s="4">
        <v>20</v>
      </c>
      <c r="O16" s="4">
        <v>19</v>
      </c>
      <c r="P16" s="4">
        <v>13</v>
      </c>
      <c r="Q16">
        <f t="shared" si="3"/>
        <v>17.333333333333332</v>
      </c>
      <c r="R16">
        <f t="shared" si="4"/>
        <v>-0.66666666666666785</v>
      </c>
      <c r="S16">
        <f t="shared" si="5"/>
        <v>0.44444444444444603</v>
      </c>
    </row>
    <row r="17" spans="6:19" x14ac:dyDescent="0.35">
      <c r="F17" s="5">
        <v>15</v>
      </c>
      <c r="G17" s="7">
        <v>13</v>
      </c>
      <c r="H17" s="7">
        <v>23</v>
      </c>
      <c r="I17" s="1">
        <f t="shared" si="0"/>
        <v>18</v>
      </c>
      <c r="J17" s="1">
        <f t="shared" si="1"/>
        <v>0</v>
      </c>
      <c r="K17" s="1">
        <f t="shared" si="2"/>
        <v>0</v>
      </c>
      <c r="M17" s="5">
        <v>15</v>
      </c>
      <c r="N17" s="4">
        <v>20</v>
      </c>
      <c r="O17" s="4">
        <v>19</v>
      </c>
      <c r="P17" s="4">
        <v>23</v>
      </c>
      <c r="Q17">
        <f t="shared" si="3"/>
        <v>20.666666666666668</v>
      </c>
      <c r="R17">
        <f t="shared" si="4"/>
        <v>2.6666666666666679</v>
      </c>
      <c r="S17">
        <f t="shared" si="5"/>
        <v>7.1111111111111178</v>
      </c>
    </row>
    <row r="18" spans="6:19" ht="72.5" x14ac:dyDescent="0.35">
      <c r="H18" s="9" t="s">
        <v>12</v>
      </c>
      <c r="I18" s="1">
        <f>AVERAGE(I3:I17)</f>
        <v>18</v>
      </c>
      <c r="J18" s="1"/>
      <c r="K18" s="1"/>
      <c r="M18" s="5">
        <v>16</v>
      </c>
      <c r="N18" s="4">
        <v>20</v>
      </c>
      <c r="O18" s="4">
        <v>13</v>
      </c>
      <c r="P18" s="4">
        <v>23</v>
      </c>
      <c r="Q18">
        <f t="shared" si="3"/>
        <v>18.666666666666668</v>
      </c>
      <c r="R18">
        <f t="shared" si="4"/>
        <v>0.66666666666666785</v>
      </c>
      <c r="S18">
        <f t="shared" si="5"/>
        <v>0.44444444444444603</v>
      </c>
    </row>
    <row r="19" spans="6:19" ht="58" x14ac:dyDescent="0.35">
      <c r="H19" s="3" t="s">
        <v>13</v>
      </c>
      <c r="I19" s="1">
        <f>MIN(I3:I17)</f>
        <v>14.5</v>
      </c>
      <c r="M19" s="5">
        <v>17</v>
      </c>
      <c r="N19" s="4">
        <v>17</v>
      </c>
      <c r="O19" s="4">
        <v>19</v>
      </c>
      <c r="P19" s="4">
        <v>13</v>
      </c>
      <c r="Q19">
        <f t="shared" si="3"/>
        <v>16.333333333333332</v>
      </c>
      <c r="R19">
        <f t="shared" si="4"/>
        <v>-1.6666666666666679</v>
      </c>
      <c r="S19">
        <f t="shared" si="5"/>
        <v>2.7777777777777817</v>
      </c>
    </row>
    <row r="20" spans="6:19" ht="58" x14ac:dyDescent="0.35">
      <c r="H20" s="3" t="s">
        <v>14</v>
      </c>
      <c r="I20">
        <f>MAX(I3:I17)</f>
        <v>21.5</v>
      </c>
      <c r="M20" s="5">
        <v>18</v>
      </c>
      <c r="N20" s="4">
        <v>17</v>
      </c>
      <c r="O20" s="4">
        <v>19</v>
      </c>
      <c r="P20" s="4">
        <v>23</v>
      </c>
      <c r="Q20">
        <f t="shared" si="3"/>
        <v>19.666666666666668</v>
      </c>
      <c r="R20">
        <f t="shared" si="4"/>
        <v>1.6666666666666679</v>
      </c>
      <c r="S20">
        <f t="shared" si="5"/>
        <v>2.7777777777777817</v>
      </c>
    </row>
    <row r="21" spans="6:19" ht="72.5" x14ac:dyDescent="0.35">
      <c r="H21" s="3" t="s">
        <v>15</v>
      </c>
      <c r="I21">
        <f>I20-I19</f>
        <v>7</v>
      </c>
      <c r="M21" s="5">
        <v>19</v>
      </c>
      <c r="N21" s="4">
        <v>17</v>
      </c>
      <c r="O21" s="4">
        <v>13</v>
      </c>
      <c r="P21" s="4">
        <v>23</v>
      </c>
      <c r="Q21">
        <f t="shared" si="3"/>
        <v>17.666666666666668</v>
      </c>
      <c r="R21">
        <f t="shared" si="4"/>
        <v>-0.33333333333333215</v>
      </c>
      <c r="S21">
        <f t="shared" si="5"/>
        <v>0.11111111111111033</v>
      </c>
    </row>
    <row r="22" spans="6:19" x14ac:dyDescent="0.35">
      <c r="H22" s="10" t="s">
        <v>20</v>
      </c>
      <c r="I22">
        <f>SUM(K3:K17)/14</f>
        <v>4.2857142857142856</v>
      </c>
      <c r="M22" s="5">
        <v>20</v>
      </c>
      <c r="N22" s="4">
        <v>19</v>
      </c>
      <c r="O22" s="4">
        <v>13</v>
      </c>
      <c r="P22" s="4">
        <v>23</v>
      </c>
      <c r="Q22">
        <f t="shared" si="3"/>
        <v>18.333333333333332</v>
      </c>
      <c r="R22">
        <f t="shared" si="4"/>
        <v>0.33333333333333215</v>
      </c>
      <c r="S22">
        <f t="shared" si="5"/>
        <v>0.11111111111111033</v>
      </c>
    </row>
    <row r="23" spans="6:19" ht="29" x14ac:dyDescent="0.35">
      <c r="H23" s="10" t="s">
        <v>21</v>
      </c>
      <c r="I23">
        <f>SQRT(I22)</f>
        <v>2.0701966780270626</v>
      </c>
      <c r="P23" s="3" t="s">
        <v>25</v>
      </c>
      <c r="Q23">
        <f>AVERAGE(Q3:Q22)</f>
        <v>18</v>
      </c>
    </row>
    <row r="24" spans="6:19" x14ac:dyDescent="0.35">
      <c r="H24" s="10" t="s">
        <v>19</v>
      </c>
      <c r="I24">
        <f>_xlfn.STDEV.S(I3:I17)</f>
        <v>2.0701966780270626</v>
      </c>
      <c r="P24" s="2" t="s">
        <v>17</v>
      </c>
      <c r="Q24">
        <f>MIN(Q3:Q22)</f>
        <v>15.333333333333334</v>
      </c>
    </row>
    <row r="25" spans="6:19" x14ac:dyDescent="0.35">
      <c r="P25" s="2" t="s">
        <v>18</v>
      </c>
      <c r="Q25">
        <f>MAX(Q3:Q22)</f>
        <v>20.666666666666668</v>
      </c>
    </row>
    <row r="26" spans="6:19" x14ac:dyDescent="0.35">
      <c r="P26" s="2" t="s">
        <v>22</v>
      </c>
      <c r="Q26">
        <f>Q25-Q24</f>
        <v>5.3333333333333339</v>
      </c>
    </row>
    <row r="27" spans="6:19" x14ac:dyDescent="0.35">
      <c r="P27" s="2" t="s">
        <v>20</v>
      </c>
      <c r="Q27">
        <f>SUM(S3:S22)/19</f>
        <v>2.1052631578947372</v>
      </c>
    </row>
    <row r="28" spans="6:19" x14ac:dyDescent="0.35">
      <c r="P28" s="2" t="s">
        <v>21</v>
      </c>
      <c r="Q28">
        <f>SQRT(Q27)</f>
        <v>1.4509525002200234</v>
      </c>
    </row>
    <row r="29" spans="6:19" x14ac:dyDescent="0.35">
      <c r="P29" s="2" t="s">
        <v>19</v>
      </c>
      <c r="Q29">
        <f>_xlfn.STDEV.S(Q3:Q22)</f>
        <v>1.4509525002200234</v>
      </c>
    </row>
  </sheetData>
  <phoneticPr fontId="2" type="noConversion"/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Milos-T460</dc:creator>
  <cp:lastModifiedBy>Milos Petrovic</cp:lastModifiedBy>
  <dcterms:created xsi:type="dcterms:W3CDTF">2022-12-05T13:58:16Z</dcterms:created>
  <dcterms:modified xsi:type="dcterms:W3CDTF">2025-12-10T18:45:08Z</dcterms:modified>
</cp:coreProperties>
</file>