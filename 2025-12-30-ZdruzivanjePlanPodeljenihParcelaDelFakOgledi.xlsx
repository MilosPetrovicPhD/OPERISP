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13_ncr:1_{C93302F3-E122-41C3-A3C5-F4C5398FBBAB}" xr6:coauthVersionLast="47" xr6:coauthVersionMax="47" xr10:uidLastSave="{00000000-0000-0000-0000-000000000000}"/>
  <bookViews>
    <workbookView xWindow="-110" yWindow="-110" windowWidth="19420" windowHeight="10560" xr2:uid="{5A65CB13-4EF7-4F81-92CE-96B88EB82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1" l="1"/>
  <c r="C36" i="1"/>
  <c r="D36" i="1"/>
  <c r="E36" i="1"/>
  <c r="F36" i="1"/>
  <c r="G36" i="1"/>
  <c r="H36" i="1"/>
  <c r="B36" i="1"/>
  <c r="I33" i="1"/>
  <c r="I34" i="1"/>
  <c r="I35" i="1"/>
  <c r="I32" i="1"/>
  <c r="H33" i="1"/>
  <c r="H34" i="1"/>
  <c r="H35" i="1"/>
  <c r="H32" i="1"/>
  <c r="H30" i="1"/>
  <c r="C30" i="1"/>
  <c r="D30" i="1"/>
  <c r="E30" i="1"/>
  <c r="F30" i="1"/>
  <c r="G30" i="1"/>
  <c r="B30" i="1"/>
  <c r="I27" i="1"/>
  <c r="I28" i="1"/>
  <c r="I29" i="1"/>
  <c r="I26" i="1"/>
  <c r="H27" i="1"/>
  <c r="H28" i="1"/>
  <c r="H29" i="1"/>
  <c r="H26" i="1"/>
</calcChain>
</file>

<file path=xl/sharedStrings.xml><?xml version="1.0" encoding="utf-8"?>
<sst xmlns="http://schemas.openxmlformats.org/spreadsheetml/2006/main" count="217" uniqueCount="79">
  <si>
    <t>B</t>
  </si>
  <si>
    <t>c</t>
  </si>
  <si>
    <t>C</t>
  </si>
  <si>
    <t>AC</t>
  </si>
  <si>
    <t>AB</t>
  </si>
  <si>
    <t>A</t>
  </si>
  <si>
    <t>BC</t>
  </si>
  <si>
    <t>-</t>
  </si>
  <si>
    <t>ABC</t>
  </si>
  <si>
    <t>(-1)</t>
  </si>
  <si>
    <t>bc</t>
  </si>
  <si>
    <t>ab</t>
  </si>
  <si>
    <t>ac</t>
  </si>
  <si>
    <t>a</t>
  </si>
  <si>
    <t>abc</t>
  </si>
  <si>
    <t>b</t>
  </si>
  <si>
    <t>Faktorijalni efekti</t>
  </si>
  <si>
    <t>Tretmani</t>
  </si>
  <si>
    <t>+</t>
  </si>
  <si>
    <t>_</t>
  </si>
  <si>
    <t>Primer sa str.334 iz knjige</t>
  </si>
  <si>
    <t xml:space="preserve">TAB. 11.3. </t>
  </si>
  <si>
    <t>Sema 2^3 faktorijalnog ogleda u 4 bloka sa zdruzenim A, BC i ABC efektima.</t>
  </si>
  <si>
    <t>U sprovodjenju zdruzivanja u 2^3 faktorijalnom ogledu moze se ici jos i dalje tako
da se jedno ponavljanje umesto dva bloka, uzmu cetiri. U tom slucaju, zavisno odx
rasporeda tretmana u pojedinim bokovima, zdruzuju se tri faktorijalna efekta. Za
ilustraciju uzimamo takav raspored tretmana kod koga su efekti A, BC i ABC zdruzeni.</t>
  </si>
  <si>
    <t>h</t>
  </si>
  <si>
    <t>h2</t>
  </si>
  <si>
    <t>h (dve vrste herbicida)</t>
  </si>
  <si>
    <t>h1 (AMNHO - 2,4D)</t>
  </si>
  <si>
    <t>v (vreme primanja)</t>
  </si>
  <si>
    <t>Prvi faktor</t>
  </si>
  <si>
    <t>Drugi faktor</t>
  </si>
  <si>
    <t>v1 (pre nicanja)</t>
  </si>
  <si>
    <t>v2 (posle nicanja)</t>
  </si>
  <si>
    <t>Treci faktor</t>
  </si>
  <si>
    <t>k</t>
  </si>
  <si>
    <t>k2 (proredjivanje i dva prasenja)</t>
  </si>
  <si>
    <t>2^3 fakt. Ogled</t>
  </si>
  <si>
    <t>Ponavljanje</t>
  </si>
  <si>
    <t>Blok</t>
  </si>
  <si>
    <t>Ukupno:</t>
  </si>
  <si>
    <t xml:space="preserve"> ͞x</t>
  </si>
  <si>
    <t>h1 v1 k1</t>
  </si>
  <si>
    <t>h1 v2 k2</t>
  </si>
  <si>
    <t>h2 v1 k2</t>
  </si>
  <si>
    <t>h2 v2 k1</t>
  </si>
  <si>
    <t>h1 v1 k2</t>
  </si>
  <si>
    <t>h1 v2 k1</t>
  </si>
  <si>
    <t>h2 v1 k1</t>
  </si>
  <si>
    <t>h2 v2 k2</t>
  </si>
  <si>
    <t>Tab. 11.4.</t>
  </si>
  <si>
    <t>Rezultati 2^3 ogleda sa herbicidima</t>
  </si>
  <si>
    <t>TAB 11.5</t>
  </si>
  <si>
    <t>Izvori varijacija</t>
  </si>
  <si>
    <t>Stepeni slobode</t>
  </si>
  <si>
    <t>Suma kvadrata</t>
  </si>
  <si>
    <t>Sredina kvadrata</t>
  </si>
  <si>
    <t>Analiza varijanse ogleda sa herbicidima
Statisticka analiza ogleda kod koga je interakcija hkv zdruzena sa sumom kvadrata blokova
je prikazana u tabeli 11.5.</t>
  </si>
  <si>
    <t>Blokovi</t>
  </si>
  <si>
    <t>Izmedju blokova</t>
  </si>
  <si>
    <t>khv</t>
  </si>
  <si>
    <t>Unutar blokova</t>
  </si>
  <si>
    <t>v</t>
  </si>
  <si>
    <t>kv</t>
  </si>
  <si>
    <t>hk</t>
  </si>
  <si>
    <t>hv</t>
  </si>
  <si>
    <t>Greska:</t>
  </si>
  <si>
    <t>Sume kvadrata pojedinih efekata rezultat su ortogonalnih uporedjenja pojedinih
tretmana i njihovo dobijanje je prikazano u Tab 11.6.</t>
  </si>
  <si>
    <t>Tab 11.6</t>
  </si>
  <si>
    <t>Izracunavanje faktorijalnih efekata u 2^3 ogledu sa herbicidima</t>
  </si>
  <si>
    <t>Ukupno</t>
  </si>
  <si>
    <t>Efekti</t>
  </si>
  <si>
    <t>Totali efekta Ci</t>
  </si>
  <si>
    <t>Suma kvadrata efekta Ci/48</t>
  </si>
  <si>
    <t>TAB. 11.7.</t>
  </si>
  <si>
    <t>Izracunavanje korekture kada je interakcija khv zdruzena</t>
  </si>
  <si>
    <t>Neispravljena
sredina</t>
  </si>
  <si>
    <t>Ispravljena
sredina</t>
  </si>
  <si>
    <t>Ispravljena
sredine</t>
  </si>
  <si>
    <t>k1 (dva kopanja i dva prasenja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</si>
</sst>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154F-543F-4CF2-8B97-3366C9A12EF8}">
  <dimension ref="A1:J75"/>
  <sheetViews>
    <sheetView tabSelected="1" topLeftCell="A32" workbookViewId="0">
      <selection activeCell="C40" sqref="C40"/>
    </sheetView>
  </sheetViews>
  <sheetFormatPr defaultRowHeight="14.5" x14ac:dyDescent="0.35"/>
  <cols>
    <col min="1" max="1" width="14.7265625" customWidth="1"/>
    <col min="2" max="2" width="46.54296875" customWidth="1"/>
    <col min="3" max="3" width="16.54296875" bestFit="1" customWidth="1"/>
    <col min="4" max="4" width="26.54296875" bestFit="1" customWidth="1"/>
    <col min="5" max="5" width="12.36328125" bestFit="1" customWidth="1"/>
    <col min="6" max="6" width="10.08984375" bestFit="1" customWidth="1"/>
    <col min="8" max="8" width="12.90625" customWidth="1"/>
  </cols>
  <sheetData>
    <row r="1" spans="1:8" ht="57" customHeight="1" x14ac:dyDescent="0.35">
      <c r="A1" s="14" t="s">
        <v>20</v>
      </c>
      <c r="B1" s="18" t="s">
        <v>23</v>
      </c>
      <c r="C1" s="15"/>
      <c r="D1" s="15"/>
      <c r="E1" s="15"/>
      <c r="F1" s="15"/>
      <c r="G1" s="15"/>
      <c r="H1" s="15"/>
    </row>
    <row r="2" spans="1:8" x14ac:dyDescent="0.35">
      <c r="A2" s="1" t="s">
        <v>21</v>
      </c>
      <c r="B2" s="17" t="s">
        <v>22</v>
      </c>
      <c r="C2" s="17"/>
      <c r="D2" s="17"/>
      <c r="E2" s="17"/>
      <c r="F2" s="17"/>
      <c r="G2" s="17"/>
      <c r="H2" s="17"/>
    </row>
    <row r="3" spans="1:8" ht="14.5" customHeight="1" x14ac:dyDescent="0.35">
      <c r="B3" s="17" t="s">
        <v>16</v>
      </c>
      <c r="C3" s="17"/>
      <c r="D3" s="17"/>
      <c r="E3" s="17"/>
      <c r="F3" s="17"/>
      <c r="G3" s="17"/>
      <c r="H3" s="17"/>
    </row>
    <row r="4" spans="1:8" ht="52.5" customHeight="1" thickBot="1" x14ac:dyDescent="0.4">
      <c r="A4" s="11" t="s">
        <v>17</v>
      </c>
      <c r="B4" s="6" t="s">
        <v>0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8</v>
      </c>
    </row>
    <row r="5" spans="1:8" x14ac:dyDescent="0.35">
      <c r="A5" s="7" t="s">
        <v>9</v>
      </c>
      <c r="B5" s="4" t="s">
        <v>7</v>
      </c>
      <c r="C5" s="4" t="s">
        <v>7</v>
      </c>
      <c r="D5" s="4" t="s">
        <v>18</v>
      </c>
      <c r="E5" s="4" t="s">
        <v>18</v>
      </c>
      <c r="F5" s="4" t="s">
        <v>7</v>
      </c>
      <c r="G5" s="4" t="s">
        <v>18</v>
      </c>
      <c r="H5" s="4" t="s">
        <v>7</v>
      </c>
    </row>
    <row r="6" spans="1:8" ht="15" thickBot="1" x14ac:dyDescent="0.4">
      <c r="A6" s="6" t="s">
        <v>10</v>
      </c>
      <c r="B6" s="5" t="s">
        <v>18</v>
      </c>
      <c r="C6" s="5" t="s">
        <v>18</v>
      </c>
      <c r="D6" s="5" t="s">
        <v>7</v>
      </c>
      <c r="E6" s="5" t="s">
        <v>7</v>
      </c>
      <c r="F6" s="5" t="s">
        <v>7</v>
      </c>
      <c r="G6" s="5" t="s">
        <v>18</v>
      </c>
      <c r="H6" s="5" t="s">
        <v>7</v>
      </c>
    </row>
    <row r="7" spans="1:8" x14ac:dyDescent="0.35">
      <c r="A7" s="8" t="s">
        <v>11</v>
      </c>
      <c r="B7" s="4" t="s">
        <v>18</v>
      </c>
      <c r="C7" s="4" t="s">
        <v>7</v>
      </c>
      <c r="D7" s="4" t="s">
        <v>7</v>
      </c>
      <c r="E7" s="4" t="s">
        <v>18</v>
      </c>
      <c r="F7" s="4" t="s">
        <v>18</v>
      </c>
      <c r="G7" s="4" t="s">
        <v>7</v>
      </c>
      <c r="H7" s="4" t="s">
        <v>7</v>
      </c>
    </row>
    <row r="8" spans="1:8" ht="15" thickBot="1" x14ac:dyDescent="0.4">
      <c r="A8" s="6" t="s">
        <v>12</v>
      </c>
      <c r="B8" s="5" t="s">
        <v>7</v>
      </c>
      <c r="C8" s="5" t="s">
        <v>18</v>
      </c>
      <c r="D8" s="5" t="s">
        <v>18</v>
      </c>
      <c r="E8" s="5" t="s">
        <v>7</v>
      </c>
      <c r="F8" s="5" t="s">
        <v>18</v>
      </c>
      <c r="G8" s="5" t="s">
        <v>7</v>
      </c>
      <c r="H8" s="5" t="s">
        <v>7</v>
      </c>
    </row>
    <row r="9" spans="1:8" x14ac:dyDescent="0.35">
      <c r="A9" s="8" t="s">
        <v>13</v>
      </c>
      <c r="B9" s="4" t="s">
        <v>7</v>
      </c>
      <c r="C9" s="4" t="s">
        <v>19</v>
      </c>
      <c r="D9" s="4" t="s">
        <v>7</v>
      </c>
      <c r="E9" s="4" t="s">
        <v>7</v>
      </c>
      <c r="F9" s="4" t="s">
        <v>18</v>
      </c>
      <c r="G9" s="4" t="s">
        <v>18</v>
      </c>
      <c r="H9" s="4" t="s">
        <v>18</v>
      </c>
    </row>
    <row r="10" spans="1:8" ht="15" thickBot="1" x14ac:dyDescent="0.4">
      <c r="A10" s="6" t="s">
        <v>14</v>
      </c>
      <c r="B10" s="5" t="s">
        <v>18</v>
      </c>
      <c r="C10" s="5" t="s">
        <v>18</v>
      </c>
      <c r="D10" s="5" t="s">
        <v>18</v>
      </c>
      <c r="E10" s="5" t="s">
        <v>18</v>
      </c>
      <c r="F10" s="5" t="s">
        <v>18</v>
      </c>
      <c r="G10" s="5" t="s">
        <v>18</v>
      </c>
      <c r="H10" s="5" t="s">
        <v>18</v>
      </c>
    </row>
    <row r="11" spans="1:8" x14ac:dyDescent="0.35">
      <c r="A11" s="8" t="s">
        <v>15</v>
      </c>
      <c r="B11" s="4" t="s">
        <v>18</v>
      </c>
      <c r="C11" s="4" t="s">
        <v>7</v>
      </c>
      <c r="D11" s="4" t="s">
        <v>18</v>
      </c>
      <c r="E11" s="4" t="s">
        <v>7</v>
      </c>
      <c r="F11" s="4" t="s">
        <v>7</v>
      </c>
      <c r="G11" s="4" t="s">
        <v>7</v>
      </c>
      <c r="H11" s="4" t="s">
        <v>18</v>
      </c>
    </row>
    <row r="12" spans="1:8" ht="15" thickBot="1" x14ac:dyDescent="0.4">
      <c r="A12" s="6" t="s">
        <v>1</v>
      </c>
      <c r="B12" s="5" t="s">
        <v>7</v>
      </c>
      <c r="C12" s="5" t="s">
        <v>18</v>
      </c>
      <c r="D12" s="5" t="s">
        <v>7</v>
      </c>
      <c r="E12" s="5" t="s">
        <v>18</v>
      </c>
      <c r="F12" s="5" t="s">
        <v>7</v>
      </c>
      <c r="G12" s="5" t="s">
        <v>7</v>
      </c>
      <c r="H12" s="5" t="s">
        <v>18</v>
      </c>
    </row>
    <row r="15" spans="1:8" x14ac:dyDescent="0.35">
      <c r="A15" s="8" t="s">
        <v>36</v>
      </c>
      <c r="B15" s="9">
        <v>2</v>
      </c>
      <c r="C15" s="9">
        <v>2</v>
      </c>
      <c r="D15" s="9">
        <v>2</v>
      </c>
    </row>
    <row r="16" spans="1:8" x14ac:dyDescent="0.35">
      <c r="B16" s="4" t="s">
        <v>29</v>
      </c>
      <c r="C16" s="4" t="s">
        <v>30</v>
      </c>
      <c r="D16" s="4" t="s">
        <v>33</v>
      </c>
    </row>
    <row r="17" spans="1:10" x14ac:dyDescent="0.35">
      <c r="B17" s="8" t="s">
        <v>26</v>
      </c>
      <c r="C17" s="8" t="s">
        <v>28</v>
      </c>
      <c r="D17" s="8" t="s">
        <v>34</v>
      </c>
    </row>
    <row r="18" spans="1:10" x14ac:dyDescent="0.35">
      <c r="B18" t="s">
        <v>27</v>
      </c>
      <c r="C18" s="4" t="s">
        <v>31</v>
      </c>
      <c r="D18" s="4" t="s">
        <v>78</v>
      </c>
    </row>
    <row r="19" spans="1:10" x14ac:dyDescent="0.35">
      <c r="B19" t="s">
        <v>25</v>
      </c>
      <c r="C19" s="4" t="s">
        <v>32</v>
      </c>
      <c r="D19" s="4" t="s">
        <v>35</v>
      </c>
    </row>
    <row r="22" spans="1:10" ht="15" thickBot="1" x14ac:dyDescent="0.4">
      <c r="A22" s="2" t="s">
        <v>49</v>
      </c>
      <c r="B22" s="2" t="s">
        <v>50</v>
      </c>
      <c r="C22" s="3"/>
      <c r="D22" s="3"/>
      <c r="E22" s="3"/>
      <c r="F22" s="3"/>
      <c r="G22" s="3"/>
      <c r="H22" s="3"/>
      <c r="I22" s="3"/>
    </row>
    <row r="23" spans="1:10" x14ac:dyDescent="0.35">
      <c r="B23" s="15" t="s">
        <v>37</v>
      </c>
      <c r="C23" s="15"/>
      <c r="D23" s="15"/>
      <c r="E23" s="15"/>
      <c r="F23" s="15"/>
      <c r="G23" s="15"/>
    </row>
    <row r="24" spans="1:10" ht="15" thickBot="1" x14ac:dyDescent="0.4">
      <c r="A24" s="19" t="s">
        <v>38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19" t="s">
        <v>39</v>
      </c>
      <c r="I24" s="15" t="s">
        <v>40</v>
      </c>
    </row>
    <row r="25" spans="1:10" ht="15" thickBot="1" x14ac:dyDescent="0.4">
      <c r="A25" s="20"/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20"/>
      <c r="I25" s="16"/>
    </row>
    <row r="26" spans="1:10" x14ac:dyDescent="0.35">
      <c r="A26" t="s">
        <v>41</v>
      </c>
      <c r="B26">
        <v>6.9</v>
      </c>
      <c r="C26">
        <v>7.2</v>
      </c>
      <c r="D26">
        <v>6.9</v>
      </c>
      <c r="E26">
        <v>6.9</v>
      </c>
      <c r="F26">
        <v>6.9</v>
      </c>
      <c r="G26">
        <v>6.9</v>
      </c>
      <c r="H26">
        <f>SUM(B26:G26)</f>
        <v>41.699999999999996</v>
      </c>
      <c r="I26">
        <f>AVERAGE(B26:G26)</f>
        <v>6.9499999999999993</v>
      </c>
      <c r="J26">
        <v>7</v>
      </c>
    </row>
    <row r="27" spans="1:10" x14ac:dyDescent="0.35">
      <c r="A27" t="s">
        <v>42</v>
      </c>
      <c r="B27">
        <v>6.1</v>
      </c>
      <c r="C27">
        <v>6</v>
      </c>
      <c r="D27">
        <v>5.9</v>
      </c>
      <c r="E27">
        <v>6.2</v>
      </c>
      <c r="F27">
        <v>6.1</v>
      </c>
      <c r="G27">
        <v>6</v>
      </c>
      <c r="H27">
        <f t="shared" ref="H27:H29" si="0">SUM(B27:G27)</f>
        <v>36.299999999999997</v>
      </c>
      <c r="I27">
        <f t="shared" ref="I27:I29" si="1">AVERAGE(B27:G27)</f>
        <v>6.05</v>
      </c>
      <c r="J27">
        <v>6</v>
      </c>
    </row>
    <row r="28" spans="1:10" x14ac:dyDescent="0.35">
      <c r="A28" t="s">
        <v>43</v>
      </c>
      <c r="B28">
        <v>6.4</v>
      </c>
      <c r="C28">
        <v>6.5</v>
      </c>
      <c r="D28">
        <v>6.7</v>
      </c>
      <c r="E28">
        <v>6.2</v>
      </c>
      <c r="F28">
        <v>6.8</v>
      </c>
      <c r="G28">
        <v>6.6</v>
      </c>
      <c r="H28">
        <f t="shared" si="0"/>
        <v>39.200000000000003</v>
      </c>
      <c r="I28">
        <f t="shared" si="1"/>
        <v>6.5333333333333341</v>
      </c>
      <c r="J28">
        <v>6.5</v>
      </c>
    </row>
    <row r="29" spans="1:10" ht="15" thickBot="1" x14ac:dyDescent="0.4">
      <c r="A29" s="3" t="s">
        <v>44</v>
      </c>
      <c r="B29" s="3">
        <v>6.1</v>
      </c>
      <c r="C29" s="3">
        <v>6</v>
      </c>
      <c r="D29" s="3">
        <v>5.8</v>
      </c>
      <c r="E29">
        <v>6.2</v>
      </c>
      <c r="F29" s="3">
        <v>5.7</v>
      </c>
      <c r="G29" s="3">
        <v>5.9</v>
      </c>
      <c r="H29">
        <f t="shared" si="0"/>
        <v>35.699999999999996</v>
      </c>
      <c r="I29">
        <f t="shared" si="1"/>
        <v>5.9499999999999993</v>
      </c>
      <c r="J29">
        <v>6</v>
      </c>
    </row>
    <row r="30" spans="1:10" ht="15" thickBot="1" x14ac:dyDescent="0.4">
      <c r="A30" s="2" t="s">
        <v>39</v>
      </c>
      <c r="B30" s="3">
        <f>SUM(B26:B29)</f>
        <v>25.5</v>
      </c>
      <c r="C30" s="3">
        <f t="shared" ref="C30:G30" si="2">SUM(C26:C29)</f>
        <v>25.7</v>
      </c>
      <c r="D30" s="3">
        <f t="shared" si="2"/>
        <v>25.3</v>
      </c>
      <c r="E30" s="3">
        <f t="shared" si="2"/>
        <v>25.5</v>
      </c>
      <c r="F30" s="3">
        <f t="shared" si="2"/>
        <v>25.5</v>
      </c>
      <c r="G30" s="3">
        <f t="shared" si="2"/>
        <v>25.4</v>
      </c>
      <c r="H30" s="3">
        <f>SUM(H26:H29)</f>
        <v>152.9</v>
      </c>
      <c r="I30" s="3"/>
    </row>
    <row r="31" spans="1:10" ht="15" thickBot="1" x14ac:dyDescent="0.4">
      <c r="A31" s="2" t="s">
        <v>38</v>
      </c>
      <c r="B31" s="3">
        <v>2</v>
      </c>
      <c r="C31" s="3">
        <v>2</v>
      </c>
      <c r="D31" s="3">
        <v>2</v>
      </c>
      <c r="E31" s="3">
        <v>2</v>
      </c>
      <c r="F31" s="3">
        <v>2</v>
      </c>
      <c r="G31" s="3">
        <v>2</v>
      </c>
      <c r="H31" s="3"/>
      <c r="I31" s="3"/>
    </row>
    <row r="32" spans="1:10" x14ac:dyDescent="0.35">
      <c r="A32" t="s">
        <v>45</v>
      </c>
      <c r="B32">
        <v>6.6</v>
      </c>
      <c r="C32">
        <v>6.4</v>
      </c>
      <c r="D32">
        <v>6.9</v>
      </c>
      <c r="E32">
        <v>6.5</v>
      </c>
      <c r="F32">
        <v>6.7</v>
      </c>
      <c r="G32">
        <v>6.7</v>
      </c>
      <c r="H32">
        <f>SUM(B32:G32)</f>
        <v>39.800000000000004</v>
      </c>
      <c r="I32">
        <f>AVERAGE(B32:G32)</f>
        <v>6.6333333333333337</v>
      </c>
      <c r="J32">
        <v>6.6</v>
      </c>
    </row>
    <row r="33" spans="1:10" x14ac:dyDescent="0.35">
      <c r="A33" t="s">
        <v>46</v>
      </c>
      <c r="B33">
        <v>5.8</v>
      </c>
      <c r="C33">
        <v>6</v>
      </c>
      <c r="D33">
        <v>6.4</v>
      </c>
      <c r="E33">
        <v>6.6</v>
      </c>
      <c r="F33">
        <v>6.2</v>
      </c>
      <c r="G33">
        <v>6.6</v>
      </c>
      <c r="H33">
        <f t="shared" ref="H33:H35" si="3">SUM(B33:G33)</f>
        <v>37.6</v>
      </c>
      <c r="I33">
        <f t="shared" ref="I33:I35" si="4">AVERAGE(B33:G33)</f>
        <v>6.2666666666666666</v>
      </c>
      <c r="J33">
        <v>6.3</v>
      </c>
    </row>
    <row r="34" spans="1:10" x14ac:dyDescent="0.35">
      <c r="A34" t="s">
        <v>47</v>
      </c>
      <c r="B34">
        <v>6.8</v>
      </c>
      <c r="C34">
        <v>6.9</v>
      </c>
      <c r="D34">
        <v>6.8</v>
      </c>
      <c r="E34">
        <v>7</v>
      </c>
      <c r="F34">
        <v>6.9</v>
      </c>
      <c r="G34">
        <v>7</v>
      </c>
      <c r="H34">
        <f t="shared" si="3"/>
        <v>41.4</v>
      </c>
      <c r="I34">
        <f t="shared" si="4"/>
        <v>6.8999999999999995</v>
      </c>
      <c r="J34">
        <v>6.9</v>
      </c>
    </row>
    <row r="35" spans="1:10" ht="15" thickBot="1" x14ac:dyDescent="0.4">
      <c r="A35" s="3" t="s">
        <v>48</v>
      </c>
      <c r="B35" s="3">
        <v>6</v>
      </c>
      <c r="C35" s="3">
        <v>6.4</v>
      </c>
      <c r="D35" s="3">
        <v>6.3</v>
      </c>
      <c r="E35" s="3">
        <v>6.2</v>
      </c>
      <c r="F35" s="3">
        <v>5.9</v>
      </c>
      <c r="G35" s="3">
        <v>5.8</v>
      </c>
      <c r="H35" s="3">
        <f t="shared" si="3"/>
        <v>36.599999999999994</v>
      </c>
      <c r="I35" s="3">
        <f t="shared" si="4"/>
        <v>6.0999999999999988</v>
      </c>
      <c r="J35" s="3">
        <v>6.1</v>
      </c>
    </row>
    <row r="36" spans="1:10" ht="15" thickBot="1" x14ac:dyDescent="0.4">
      <c r="A36" s="12" t="s">
        <v>39</v>
      </c>
      <c r="B36" s="13">
        <f>SUM(B32:B35)</f>
        <v>25.2</v>
      </c>
      <c r="C36" s="13">
        <f t="shared" ref="C36:H36" si="5">SUM(C32:C35)</f>
        <v>25.700000000000003</v>
      </c>
      <c r="D36" s="13">
        <f t="shared" si="5"/>
        <v>26.400000000000002</v>
      </c>
      <c r="E36" s="13">
        <f t="shared" si="5"/>
        <v>26.3</v>
      </c>
      <c r="F36" s="13">
        <f t="shared" si="5"/>
        <v>25.700000000000003</v>
      </c>
      <c r="G36" s="13">
        <f t="shared" si="5"/>
        <v>26.1</v>
      </c>
      <c r="H36" s="13">
        <f t="shared" si="5"/>
        <v>155.4</v>
      </c>
      <c r="I36" s="13"/>
      <c r="J36" s="13"/>
    </row>
    <row r="38" spans="1:10" ht="58.5" thickBot="1" x14ac:dyDescent="0.4">
      <c r="A38" s="2" t="s">
        <v>51</v>
      </c>
      <c r="B38" s="22" t="s">
        <v>56</v>
      </c>
      <c r="C38" s="3"/>
      <c r="D38" s="3"/>
    </row>
    <row r="39" spans="1:10" ht="15" thickBot="1" x14ac:dyDescent="0.4">
      <c r="A39" s="12" t="s">
        <v>52</v>
      </c>
      <c r="B39" s="12" t="s">
        <v>53</v>
      </c>
      <c r="C39" s="12" t="s">
        <v>54</v>
      </c>
      <c r="D39" s="12" t="s">
        <v>55</v>
      </c>
    </row>
    <row r="40" spans="1:10" x14ac:dyDescent="0.35">
      <c r="A40" s="1" t="s">
        <v>57</v>
      </c>
      <c r="B40">
        <v>11</v>
      </c>
    </row>
    <row r="41" spans="1:10" x14ac:dyDescent="0.35">
      <c r="A41" t="s">
        <v>58</v>
      </c>
      <c r="B41">
        <v>5</v>
      </c>
    </row>
    <row r="42" spans="1:10" x14ac:dyDescent="0.35">
      <c r="A42" t="s">
        <v>59</v>
      </c>
      <c r="B42">
        <v>1</v>
      </c>
    </row>
    <row r="43" spans="1:10" x14ac:dyDescent="0.35">
      <c r="A43" t="s">
        <v>60</v>
      </c>
      <c r="B43">
        <v>5</v>
      </c>
    </row>
    <row r="44" spans="1:10" x14ac:dyDescent="0.35">
      <c r="A44" s="1" t="s">
        <v>17</v>
      </c>
      <c r="B44">
        <v>6</v>
      </c>
    </row>
    <row r="45" spans="1:10" x14ac:dyDescent="0.35">
      <c r="A45" t="s">
        <v>34</v>
      </c>
      <c r="B45">
        <v>1</v>
      </c>
    </row>
    <row r="46" spans="1:10" x14ac:dyDescent="0.35">
      <c r="A46" t="s">
        <v>61</v>
      </c>
      <c r="B46">
        <v>1</v>
      </c>
    </row>
    <row r="47" spans="1:10" x14ac:dyDescent="0.35">
      <c r="A47" t="s">
        <v>62</v>
      </c>
      <c r="B47">
        <v>1</v>
      </c>
    </row>
    <row r="48" spans="1:10" x14ac:dyDescent="0.35">
      <c r="A48" t="s">
        <v>24</v>
      </c>
      <c r="B48">
        <v>1</v>
      </c>
    </row>
    <row r="49" spans="1:9" x14ac:dyDescent="0.35">
      <c r="A49" t="s">
        <v>63</v>
      </c>
      <c r="B49">
        <v>1</v>
      </c>
    </row>
    <row r="50" spans="1:9" x14ac:dyDescent="0.35">
      <c r="A50" t="s">
        <v>64</v>
      </c>
      <c r="B50">
        <v>1</v>
      </c>
    </row>
    <row r="51" spans="1:9" ht="15" thickBot="1" x14ac:dyDescent="0.4">
      <c r="A51" s="2" t="s">
        <v>65</v>
      </c>
      <c r="B51" s="3"/>
      <c r="C51" s="3"/>
      <c r="D51" s="3"/>
    </row>
    <row r="52" spans="1:9" ht="15" thickBot="1" x14ac:dyDescent="0.4">
      <c r="A52" s="12" t="s">
        <v>39</v>
      </c>
      <c r="B52" s="13"/>
      <c r="C52" s="13"/>
      <c r="D52" s="13"/>
    </row>
    <row r="54" spans="1:9" ht="43.5" x14ac:dyDescent="0.35">
      <c r="B54" s="10" t="s">
        <v>66</v>
      </c>
    </row>
    <row r="55" spans="1:9" x14ac:dyDescent="0.35">
      <c r="A55" s="1" t="s">
        <v>67</v>
      </c>
      <c r="B55" s="21" t="s">
        <v>68</v>
      </c>
    </row>
    <row r="56" spans="1:9" ht="15" thickBot="1" x14ac:dyDescent="0.4">
      <c r="A56" s="15" t="s">
        <v>17</v>
      </c>
      <c r="B56" s="15" t="s">
        <v>69</v>
      </c>
      <c r="C56" s="16" t="s">
        <v>70</v>
      </c>
      <c r="D56" s="16"/>
      <c r="E56" s="16"/>
      <c r="F56" s="16"/>
      <c r="G56" s="16"/>
      <c r="H56" s="16"/>
      <c r="I56" s="16"/>
    </row>
    <row r="57" spans="1:9" ht="15" thickBot="1" x14ac:dyDescent="0.4">
      <c r="A57" s="16"/>
      <c r="B57" s="16"/>
      <c r="C57" s="3" t="s">
        <v>24</v>
      </c>
      <c r="D57" s="3" t="s">
        <v>61</v>
      </c>
      <c r="E57" s="3" t="s">
        <v>62</v>
      </c>
      <c r="F57" s="3" t="s">
        <v>24</v>
      </c>
      <c r="G57" s="3" t="s">
        <v>63</v>
      </c>
      <c r="H57" s="3" t="s">
        <v>64</v>
      </c>
      <c r="I57" s="3" t="s">
        <v>59</v>
      </c>
    </row>
    <row r="58" spans="1:9" x14ac:dyDescent="0.35">
      <c r="A58" s="4" t="s">
        <v>41</v>
      </c>
      <c r="B58" s="4">
        <v>41.7</v>
      </c>
      <c r="C58" s="4" t="s">
        <v>18</v>
      </c>
      <c r="D58" s="4" t="s">
        <v>18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</row>
    <row r="59" spans="1:9" x14ac:dyDescent="0.35">
      <c r="A59" s="4" t="s">
        <v>45</v>
      </c>
      <c r="B59" s="4">
        <v>39.799999999999997</v>
      </c>
      <c r="C59" s="4" t="s">
        <v>7</v>
      </c>
      <c r="D59" s="4" t="s">
        <v>18</v>
      </c>
      <c r="E59" s="4" t="s">
        <v>7</v>
      </c>
      <c r="F59" s="4" t="s">
        <v>18</v>
      </c>
      <c r="G59" s="4" t="s">
        <v>7</v>
      </c>
      <c r="H59" s="4" t="s">
        <v>18</v>
      </c>
      <c r="I59" s="4" t="s">
        <v>7</v>
      </c>
    </row>
    <row r="60" spans="1:9" x14ac:dyDescent="0.35">
      <c r="A60" s="4" t="s">
        <v>46</v>
      </c>
      <c r="B60" s="4">
        <v>37.6</v>
      </c>
      <c r="C60" s="4" t="s">
        <v>18</v>
      </c>
      <c r="D60" s="4" t="s">
        <v>7</v>
      </c>
      <c r="E60" s="4" t="s">
        <v>7</v>
      </c>
      <c r="F60" s="4" t="s">
        <v>18</v>
      </c>
      <c r="G60" s="4" t="s">
        <v>18</v>
      </c>
      <c r="H60" s="4" t="s">
        <v>7</v>
      </c>
      <c r="I60" s="4" t="s">
        <v>7</v>
      </c>
    </row>
    <row r="61" spans="1:9" x14ac:dyDescent="0.35">
      <c r="A61" s="4" t="s">
        <v>42</v>
      </c>
      <c r="B61" s="4">
        <v>36.299999999999997</v>
      </c>
      <c r="C61" s="4" t="s">
        <v>7</v>
      </c>
      <c r="D61" s="4" t="s">
        <v>7</v>
      </c>
      <c r="E61" s="4" t="s">
        <v>18</v>
      </c>
      <c r="F61" s="4" t="s">
        <v>18</v>
      </c>
      <c r="G61" s="4" t="s">
        <v>7</v>
      </c>
      <c r="H61" s="4" t="s">
        <v>7</v>
      </c>
      <c r="I61" s="4" t="s">
        <v>18</v>
      </c>
    </row>
    <row r="62" spans="1:9" x14ac:dyDescent="0.35">
      <c r="A62" s="4" t="s">
        <v>47</v>
      </c>
      <c r="B62" s="4">
        <v>41.4</v>
      </c>
      <c r="C62" s="4" t="s">
        <v>18</v>
      </c>
      <c r="D62" s="4" t="s">
        <v>18</v>
      </c>
      <c r="E62" s="4" t="s">
        <v>18</v>
      </c>
      <c r="F62" s="4" t="s">
        <v>7</v>
      </c>
      <c r="G62" s="4" t="s">
        <v>7</v>
      </c>
      <c r="H62" s="4" t="s">
        <v>7</v>
      </c>
      <c r="I62" s="4" t="s">
        <v>7</v>
      </c>
    </row>
    <row r="63" spans="1:9" x14ac:dyDescent="0.35">
      <c r="A63" s="4" t="s">
        <v>43</v>
      </c>
      <c r="B63" s="4">
        <v>39.200000000000003</v>
      </c>
      <c r="C63" s="4" t="s">
        <v>7</v>
      </c>
      <c r="D63" s="4" t="s">
        <v>18</v>
      </c>
      <c r="E63" s="4" t="s">
        <v>7</v>
      </c>
      <c r="F63" s="4" t="s">
        <v>7</v>
      </c>
      <c r="G63" s="4" t="s">
        <v>18</v>
      </c>
      <c r="H63" s="4" t="s">
        <v>7</v>
      </c>
      <c r="I63" s="4" t="s">
        <v>18</v>
      </c>
    </row>
    <row r="64" spans="1:9" x14ac:dyDescent="0.35">
      <c r="A64" s="4" t="s">
        <v>44</v>
      </c>
      <c r="B64" s="4">
        <v>35.700000000000003</v>
      </c>
      <c r="C64" s="4" t="s">
        <v>18</v>
      </c>
      <c r="D64" s="4" t="s">
        <v>7</v>
      </c>
      <c r="E64" s="4" t="s">
        <v>7</v>
      </c>
      <c r="F64" s="4" t="s">
        <v>7</v>
      </c>
      <c r="G64" s="4" t="s">
        <v>7</v>
      </c>
      <c r="H64" s="4" t="s">
        <v>18</v>
      </c>
      <c r="I64" s="4" t="s">
        <v>18</v>
      </c>
    </row>
    <row r="65" spans="1:9" ht="15" thickBot="1" x14ac:dyDescent="0.4">
      <c r="A65" s="5" t="s">
        <v>48</v>
      </c>
      <c r="B65" s="5">
        <v>36.6</v>
      </c>
      <c r="C65" s="5" t="s">
        <v>7</v>
      </c>
      <c r="D65" s="5" t="s">
        <v>7</v>
      </c>
      <c r="E65" s="5" t="s">
        <v>18</v>
      </c>
      <c r="F65" s="5" t="s">
        <v>7</v>
      </c>
      <c r="G65" s="5" t="s">
        <v>18</v>
      </c>
      <c r="H65" s="5" t="s">
        <v>18</v>
      </c>
      <c r="I65" s="5" t="s">
        <v>7</v>
      </c>
    </row>
    <row r="66" spans="1:9" x14ac:dyDescent="0.35">
      <c r="A66" s="4" t="s">
        <v>71</v>
      </c>
      <c r="B66">
        <f>SUM(B58:B65)</f>
        <v>308.3</v>
      </c>
    </row>
    <row r="67" spans="1:9" x14ac:dyDescent="0.35">
      <c r="A67" s="4" t="s">
        <v>72</v>
      </c>
    </row>
    <row r="70" spans="1:9" x14ac:dyDescent="0.35">
      <c r="A70" s="8" t="s">
        <v>73</v>
      </c>
      <c r="B70" s="1" t="s">
        <v>74</v>
      </c>
    </row>
    <row r="71" spans="1:9" ht="43.5" x14ac:dyDescent="0.35">
      <c r="A71" s="8" t="s">
        <v>17</v>
      </c>
      <c r="B71" s="14" t="s">
        <v>75</v>
      </c>
      <c r="C71" s="14" t="s">
        <v>76</v>
      </c>
      <c r="D71" s="1" t="s">
        <v>17</v>
      </c>
      <c r="E71" s="14" t="s">
        <v>75</v>
      </c>
      <c r="F71" s="14" t="s">
        <v>77</v>
      </c>
    </row>
    <row r="72" spans="1:9" x14ac:dyDescent="0.35">
      <c r="A72" s="4" t="s">
        <v>41</v>
      </c>
    </row>
    <row r="73" spans="1:9" x14ac:dyDescent="0.35">
      <c r="A73" s="4" t="s">
        <v>42</v>
      </c>
    </row>
    <row r="74" spans="1:9" x14ac:dyDescent="0.35">
      <c r="A74" s="4" t="s">
        <v>43</v>
      </c>
    </row>
    <row r="75" spans="1:9" x14ac:dyDescent="0.35">
      <c r="A75" s="4" t="s">
        <v>44</v>
      </c>
    </row>
  </sheetData>
  <mergeCells count="10">
    <mergeCell ref="B2:H2"/>
    <mergeCell ref="B1:H1"/>
    <mergeCell ref="B23:G23"/>
    <mergeCell ref="A24:A25"/>
    <mergeCell ref="H24:H25"/>
    <mergeCell ref="I24:I25"/>
    <mergeCell ref="A56:A57"/>
    <mergeCell ref="B56:B57"/>
    <mergeCell ref="C56:I56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Petrovic</dc:creator>
  <cp:lastModifiedBy>Milos Petrovic</cp:lastModifiedBy>
  <dcterms:created xsi:type="dcterms:W3CDTF">2025-12-30T12:59:06Z</dcterms:created>
  <dcterms:modified xsi:type="dcterms:W3CDTF">2025-12-31T10:49:45Z</dcterms:modified>
</cp:coreProperties>
</file>