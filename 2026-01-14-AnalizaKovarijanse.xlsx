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-Nastava\!!Master_studije\!!!Osnov_princ_eksp_rada_i_inf_sistemi\2025\Vezbe\"/>
    </mc:Choice>
  </mc:AlternateContent>
  <xr:revisionPtr revIDLastSave="0" documentId="13_ncr:1_{ED73EAEE-0773-40FD-8BC1-2571C50205C3}" xr6:coauthVersionLast="47" xr6:coauthVersionMax="47" xr10:uidLastSave="{00000000-0000-0000-0000-000000000000}"/>
  <bookViews>
    <workbookView xWindow="-110" yWindow="-110" windowWidth="19420" windowHeight="10560" xr2:uid="{3D5A7661-3A73-4771-9537-47E0EF388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B28" i="1"/>
  <c r="B27" i="1"/>
  <c r="F42" i="1"/>
  <c r="B41" i="1"/>
  <c r="I38" i="1"/>
  <c r="I36" i="1"/>
  <c r="H38" i="1"/>
  <c r="H37" i="1"/>
  <c r="H36" i="1"/>
  <c r="G38" i="1"/>
  <c r="F36" i="1"/>
  <c r="B20" i="1"/>
  <c r="C37" i="1"/>
  <c r="D37" i="1"/>
  <c r="B37" i="1"/>
  <c r="B25" i="1"/>
  <c r="R11" i="1"/>
  <c r="P11" i="1"/>
  <c r="Q11" i="1"/>
  <c r="O11" i="1"/>
  <c r="B26" i="1"/>
  <c r="M11" i="1"/>
  <c r="M9" i="1"/>
  <c r="M7" i="1"/>
  <c r="M5" i="1"/>
  <c r="M3" i="1"/>
  <c r="K11" i="1"/>
  <c r="K9" i="1"/>
  <c r="K7" i="1"/>
  <c r="K5" i="1"/>
  <c r="K3" i="1"/>
  <c r="I5" i="1"/>
  <c r="J5" i="1"/>
  <c r="I7" i="1"/>
  <c r="J7" i="1"/>
  <c r="I9" i="1"/>
  <c r="J9" i="1"/>
  <c r="H9" i="1"/>
  <c r="H7" i="1"/>
  <c r="H5" i="1"/>
  <c r="I3" i="1"/>
  <c r="J3" i="1"/>
  <c r="H3" i="1"/>
  <c r="B23" i="1"/>
  <c r="B22" i="1"/>
  <c r="B14" i="1"/>
  <c r="B15" i="1"/>
  <c r="B21" i="1"/>
  <c r="B19" i="1"/>
  <c r="B16" i="1"/>
  <c r="B13" i="1"/>
  <c r="F4" i="1"/>
  <c r="F5" i="1"/>
  <c r="F6" i="1"/>
  <c r="F7" i="1"/>
  <c r="F8" i="1"/>
  <c r="F9" i="1"/>
  <c r="F10" i="1"/>
  <c r="F3" i="1"/>
  <c r="C12" i="1"/>
  <c r="F12" i="1" s="1"/>
  <c r="D12" i="1"/>
  <c r="E12" i="1"/>
  <c r="D11" i="1"/>
  <c r="E11" i="1"/>
  <c r="C11" i="1"/>
  <c r="B17" i="1" l="1"/>
  <c r="F11" i="1"/>
</calcChain>
</file>

<file path=xl/sharedStrings.xml><?xml version="1.0" encoding="utf-8"?>
<sst xmlns="http://schemas.openxmlformats.org/spreadsheetml/2006/main" count="60" uniqueCount="46">
  <si>
    <t>X</t>
  </si>
  <si>
    <t>Y</t>
  </si>
  <si>
    <t>A</t>
  </si>
  <si>
    <t>B</t>
  </si>
  <si>
    <t>C</t>
  </si>
  <si>
    <t>Ukupno:</t>
  </si>
  <si>
    <t>sumX</t>
  </si>
  <si>
    <t>sumY</t>
  </si>
  <si>
    <t>Sorte</t>
  </si>
  <si>
    <t>Txx (Suma kvadrata sorti za X)</t>
  </si>
  <si>
    <t>Pxx (Suma kvadrata greske za X)</t>
  </si>
  <si>
    <t>Primer sa str.428 iz knjige</t>
  </si>
  <si>
    <t>Sxx (suma kvadrata totala za X)</t>
  </si>
  <si>
    <t>Bxx (suma kvadrata blokova za X)</t>
  </si>
  <si>
    <t>Korektivni faktor (za X)</t>
  </si>
  <si>
    <t>Korektivni faktor (za Y)</t>
  </si>
  <si>
    <t>Syy (suma kvadrata totala za Y)</t>
  </si>
  <si>
    <t>Byy (suma kvadrata blokova za Y)</t>
  </si>
  <si>
    <t>Tyy (Suma kvadrata sorti za Y)</t>
  </si>
  <si>
    <t>Pyy (Suma kvadrata greske za Y)</t>
  </si>
  <si>
    <t>Sxy (suma kvadrata totala proizvoda X i Y)</t>
  </si>
  <si>
    <t>XY</t>
  </si>
  <si>
    <t>Proizvodi XY</t>
  </si>
  <si>
    <t>Blokovi proizvoda X i Y</t>
  </si>
  <si>
    <t>Bxy (suma kvadrata blokova proizvoda X i Y)</t>
  </si>
  <si>
    <t>Tretmani proizvoda X i Y</t>
  </si>
  <si>
    <t>Txy (suma kvadrata tretmana proizvoda X i Y)</t>
  </si>
  <si>
    <t>Pxy (suma kvadrata greske proizvoda X i Y)</t>
  </si>
  <si>
    <t>TAB 14.9. str. 429 u knjizi</t>
  </si>
  <si>
    <t>I</t>
  </si>
  <si>
    <t>Izvori varijacije</t>
  </si>
  <si>
    <t>sum y^2</t>
  </si>
  <si>
    <t>sum xy</t>
  </si>
  <si>
    <t>sum x^2</t>
  </si>
  <si>
    <t>T+P</t>
  </si>
  <si>
    <t>Korigovani tretmani</t>
  </si>
  <si>
    <t>S (total)</t>
  </si>
  <si>
    <t>B (blokovi)</t>
  </si>
  <si>
    <t>T (tretmani)</t>
  </si>
  <si>
    <t>P (greska)</t>
  </si>
  <si>
    <t>Stepeni
slobode</t>
  </si>
  <si>
    <t>Sredina 
kvadrata</t>
  </si>
  <si>
    <t>Korigovana
suma kvadrata
sum y^2-(sum xy)^2/sum x^2</t>
  </si>
  <si>
    <t>F (realizovana vrednost)</t>
  </si>
  <si>
    <t>alpha</t>
  </si>
  <si>
    <t>Finv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</si>
</sst>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2E05-DCAC-4209-B2F8-3C8C67858BB2}">
  <dimension ref="A1:R42"/>
  <sheetViews>
    <sheetView tabSelected="1" workbookViewId="0"/>
  </sheetViews>
  <sheetFormatPr defaultRowHeight="14.5" x14ac:dyDescent="0.35"/>
  <cols>
    <col min="1" max="1" width="35.6328125" bestFit="1" customWidth="1"/>
    <col min="6" max="6" width="24.36328125" bestFit="1" customWidth="1"/>
    <col min="7" max="7" width="19.36328125" customWidth="1"/>
  </cols>
  <sheetData>
    <row r="1" spans="1:18" x14ac:dyDescent="0.35">
      <c r="A1" s="1" t="s">
        <v>11</v>
      </c>
      <c r="C1" s="2" t="s">
        <v>8</v>
      </c>
      <c r="D1" s="2"/>
      <c r="E1" s="2"/>
      <c r="H1" s="2" t="s">
        <v>22</v>
      </c>
      <c r="I1" s="2"/>
      <c r="J1" s="2"/>
    </row>
    <row r="2" spans="1:18" x14ac:dyDescent="0.35">
      <c r="C2" t="s">
        <v>2</v>
      </c>
      <c r="D2" t="s">
        <v>3</v>
      </c>
      <c r="E2" t="s">
        <v>4</v>
      </c>
      <c r="F2" s="1" t="s">
        <v>5</v>
      </c>
      <c r="H2" t="s">
        <v>2</v>
      </c>
      <c r="I2" t="s">
        <v>3</v>
      </c>
      <c r="J2" t="s">
        <v>4</v>
      </c>
      <c r="K2" t="s">
        <v>5</v>
      </c>
      <c r="M2" t="s">
        <v>23</v>
      </c>
    </row>
    <row r="3" spans="1:18" x14ac:dyDescent="0.35">
      <c r="A3">
        <v>1</v>
      </c>
      <c r="B3" t="s">
        <v>0</v>
      </c>
      <c r="C3">
        <v>54</v>
      </c>
      <c r="D3">
        <v>51</v>
      </c>
      <c r="E3">
        <v>57</v>
      </c>
      <c r="F3" s="7">
        <f>SUM(C3:E3)</f>
        <v>162</v>
      </c>
      <c r="G3" s="5">
        <v>1</v>
      </c>
      <c r="H3">
        <f>C3*C4</f>
        <v>3456</v>
      </c>
      <c r="I3">
        <f t="shared" ref="I3:J3" si="0">D3*D4</f>
        <v>3315</v>
      </c>
      <c r="J3">
        <f t="shared" si="0"/>
        <v>4104</v>
      </c>
      <c r="K3">
        <f>SUM(H3:J3)</f>
        <v>10875</v>
      </c>
      <c r="M3" s="6">
        <f>F3*F4</f>
        <v>32562</v>
      </c>
    </row>
    <row r="4" spans="1:18" x14ac:dyDescent="0.35">
      <c r="B4" t="s">
        <v>1</v>
      </c>
      <c r="C4">
        <v>64</v>
      </c>
      <c r="D4">
        <v>65</v>
      </c>
      <c r="E4">
        <v>72</v>
      </c>
      <c r="F4" s="8">
        <f t="shared" ref="F4:F12" si="1">SUM(C4:E4)</f>
        <v>201</v>
      </c>
      <c r="G4" s="5" t="s">
        <v>21</v>
      </c>
    </row>
    <row r="5" spans="1:18" x14ac:dyDescent="0.35">
      <c r="A5">
        <v>2</v>
      </c>
      <c r="B5" t="s">
        <v>0</v>
      </c>
      <c r="C5">
        <v>62</v>
      </c>
      <c r="D5">
        <v>64</v>
      </c>
      <c r="E5">
        <v>60</v>
      </c>
      <c r="F5" s="3">
        <f t="shared" si="1"/>
        <v>186</v>
      </c>
      <c r="G5" s="5">
        <v>2</v>
      </c>
      <c r="H5">
        <f>C5*C6</f>
        <v>4216</v>
      </c>
      <c r="I5">
        <f t="shared" ref="I5:J5" si="2">D5*D6</f>
        <v>4416</v>
      </c>
      <c r="J5">
        <f t="shared" si="2"/>
        <v>4200</v>
      </c>
      <c r="K5">
        <f>SUM(H5:J5)</f>
        <v>12832</v>
      </c>
      <c r="M5">
        <f>F5*F6</f>
        <v>38502</v>
      </c>
    </row>
    <row r="6" spans="1:18" x14ac:dyDescent="0.35">
      <c r="B6" t="s">
        <v>1</v>
      </c>
      <c r="C6">
        <v>68</v>
      </c>
      <c r="D6">
        <v>69</v>
      </c>
      <c r="E6">
        <v>70</v>
      </c>
      <c r="F6" s="4">
        <f t="shared" si="1"/>
        <v>207</v>
      </c>
      <c r="G6" s="5" t="s">
        <v>21</v>
      </c>
    </row>
    <row r="7" spans="1:18" x14ac:dyDescent="0.35">
      <c r="A7">
        <v>3</v>
      </c>
      <c r="B7" t="s">
        <v>0</v>
      </c>
      <c r="C7">
        <v>51</v>
      </c>
      <c r="D7">
        <v>47</v>
      </c>
      <c r="E7">
        <v>46</v>
      </c>
      <c r="F7" s="3">
        <f t="shared" si="1"/>
        <v>144</v>
      </c>
      <c r="G7" s="5">
        <v>3</v>
      </c>
      <c r="H7">
        <f>C7*C8</f>
        <v>2754</v>
      </c>
      <c r="I7">
        <f t="shared" ref="I7:J7" si="3">D7*D8</f>
        <v>2820</v>
      </c>
      <c r="J7">
        <f t="shared" si="3"/>
        <v>2622</v>
      </c>
      <c r="K7">
        <f>SUM(H7:J7)</f>
        <v>8196</v>
      </c>
      <c r="M7">
        <f>F7*F8</f>
        <v>24624</v>
      </c>
    </row>
    <row r="8" spans="1:18" x14ac:dyDescent="0.35">
      <c r="B8" t="s">
        <v>1</v>
      </c>
      <c r="C8">
        <v>54</v>
      </c>
      <c r="D8">
        <v>60</v>
      </c>
      <c r="E8">
        <v>57</v>
      </c>
      <c r="F8" s="4">
        <f t="shared" si="1"/>
        <v>171</v>
      </c>
      <c r="G8" s="5" t="s">
        <v>21</v>
      </c>
    </row>
    <row r="9" spans="1:18" x14ac:dyDescent="0.35">
      <c r="A9">
        <v>4</v>
      </c>
      <c r="B9" t="s">
        <v>0</v>
      </c>
      <c r="C9">
        <v>53</v>
      </c>
      <c r="D9">
        <v>50</v>
      </c>
      <c r="E9">
        <v>41</v>
      </c>
      <c r="F9" s="3">
        <f t="shared" si="1"/>
        <v>144</v>
      </c>
      <c r="G9" s="5">
        <v>4</v>
      </c>
      <c r="H9">
        <f>C9*C10</f>
        <v>3286</v>
      </c>
      <c r="I9">
        <f t="shared" ref="I9:J9" si="4">D9*D10</f>
        <v>3300</v>
      </c>
      <c r="J9">
        <f t="shared" si="4"/>
        <v>2501</v>
      </c>
      <c r="K9">
        <f>SUM(H9:J9)</f>
        <v>9087</v>
      </c>
      <c r="M9">
        <f>F9*F10</f>
        <v>27216</v>
      </c>
    </row>
    <row r="10" spans="1:18" x14ac:dyDescent="0.35">
      <c r="B10" t="s">
        <v>1</v>
      </c>
      <c r="C10">
        <v>62</v>
      </c>
      <c r="D10">
        <v>66</v>
      </c>
      <c r="E10">
        <v>61</v>
      </c>
      <c r="F10" s="4">
        <f t="shared" si="1"/>
        <v>189</v>
      </c>
      <c r="O10" t="s">
        <v>25</v>
      </c>
    </row>
    <row r="11" spans="1:18" x14ac:dyDescent="0.35">
      <c r="A11" s="1" t="s">
        <v>5</v>
      </c>
      <c r="B11" t="s">
        <v>6</v>
      </c>
      <c r="C11" s="9">
        <f>SUM(C3,C5,C7,C9)</f>
        <v>220</v>
      </c>
      <c r="D11">
        <f t="shared" ref="D11:E12" si="5">SUM(D3,D5,D7,D9)</f>
        <v>212</v>
      </c>
      <c r="E11">
        <f t="shared" si="5"/>
        <v>204</v>
      </c>
      <c r="F11">
        <f t="shared" si="1"/>
        <v>636</v>
      </c>
      <c r="K11">
        <f>SUM(K3:K9)</f>
        <v>40990</v>
      </c>
      <c r="M11">
        <f>SUM(M3:M10)</f>
        <v>122904</v>
      </c>
      <c r="O11" s="9">
        <f>C11*C12</f>
        <v>54560</v>
      </c>
      <c r="P11">
        <f t="shared" ref="P11:R11" si="6">D11*D12</f>
        <v>55120</v>
      </c>
      <c r="Q11">
        <f t="shared" si="6"/>
        <v>53040</v>
      </c>
      <c r="R11">
        <f>SUM(O11:Q11)</f>
        <v>162720</v>
      </c>
    </row>
    <row r="12" spans="1:18" x14ac:dyDescent="0.35">
      <c r="B12" t="s">
        <v>7</v>
      </c>
      <c r="C12" s="9">
        <f>SUM(C4,C6,C8,C10)</f>
        <v>248</v>
      </c>
      <c r="D12">
        <f t="shared" si="5"/>
        <v>260</v>
      </c>
      <c r="E12">
        <f t="shared" si="5"/>
        <v>260</v>
      </c>
      <c r="F12">
        <f t="shared" si="1"/>
        <v>768</v>
      </c>
    </row>
    <row r="13" spans="1:18" x14ac:dyDescent="0.35">
      <c r="A13" s="1" t="s">
        <v>14</v>
      </c>
      <c r="B13">
        <f>F11^2/12</f>
        <v>33708</v>
      </c>
    </row>
    <row r="14" spans="1:18" x14ac:dyDescent="0.35">
      <c r="A14" s="1" t="s">
        <v>12</v>
      </c>
      <c r="B14">
        <f>SUMSQ(C3:E3,C5:E5,C7:E7,C9:E9)-B13</f>
        <v>514</v>
      </c>
    </row>
    <row r="15" spans="1:18" x14ac:dyDescent="0.35">
      <c r="A15" s="1" t="s">
        <v>13</v>
      </c>
      <c r="B15" s="3">
        <f>(F3^2+F5^2+F7^2+F9^2)/3-B13</f>
        <v>396</v>
      </c>
    </row>
    <row r="16" spans="1:18" ht="15.5" customHeight="1" x14ac:dyDescent="0.35">
      <c r="A16" s="1" t="s">
        <v>9</v>
      </c>
      <c r="B16">
        <f>(C11^2+D11^2+E11^2)/4-B13</f>
        <v>32</v>
      </c>
    </row>
    <row r="17" spans="1:9" x14ac:dyDescent="0.35">
      <c r="A17" s="1" t="s">
        <v>10</v>
      </c>
      <c r="B17">
        <f>B14-B15-B16</f>
        <v>86</v>
      </c>
    </row>
    <row r="19" spans="1:9" x14ac:dyDescent="0.35">
      <c r="A19" s="1" t="s">
        <v>15</v>
      </c>
      <c r="B19">
        <f>F12^2/12</f>
        <v>49152</v>
      </c>
    </row>
    <row r="20" spans="1:9" x14ac:dyDescent="0.35">
      <c r="A20" s="1" t="s">
        <v>16</v>
      </c>
      <c r="B20">
        <f>SUMSQ(C4:E4,C6:E6,C8:E8,C10:E10)-B19</f>
        <v>324</v>
      </c>
    </row>
    <row r="21" spans="1:9" x14ac:dyDescent="0.35">
      <c r="A21" s="1" t="s">
        <v>17</v>
      </c>
      <c r="B21" s="4">
        <f>(F4^2+F6^2+F8^2+F10^2)/3-B19</f>
        <v>252</v>
      </c>
    </row>
    <row r="22" spans="1:9" x14ac:dyDescent="0.35">
      <c r="A22" s="1" t="s">
        <v>18</v>
      </c>
      <c r="B22">
        <f>(C12^2+D12^2+E12^2)/4-B19</f>
        <v>24</v>
      </c>
    </row>
    <row r="23" spans="1:9" x14ac:dyDescent="0.35">
      <c r="A23" s="1" t="s">
        <v>19</v>
      </c>
      <c r="B23">
        <f>B20-B21-B22</f>
        <v>48</v>
      </c>
    </row>
    <row r="25" spans="1:9" x14ac:dyDescent="0.35">
      <c r="A25" s="1" t="s">
        <v>20</v>
      </c>
      <c r="B25">
        <f>K11-F11*F12/12</f>
        <v>286</v>
      </c>
    </row>
    <row r="26" spans="1:9" x14ac:dyDescent="0.35">
      <c r="A26" s="1" t="s">
        <v>24</v>
      </c>
      <c r="B26">
        <f>M11/3-F11*F12/12</f>
        <v>264</v>
      </c>
    </row>
    <row r="27" spans="1:9" x14ac:dyDescent="0.35">
      <c r="A27" s="1" t="s">
        <v>26</v>
      </c>
      <c r="B27">
        <f>R11/4-F11*F12/12</f>
        <v>-24</v>
      </c>
    </row>
    <row r="28" spans="1:9" x14ac:dyDescent="0.35">
      <c r="A28" s="1" t="s">
        <v>27</v>
      </c>
      <c r="B28">
        <f>B25-B26-B27</f>
        <v>46</v>
      </c>
    </row>
    <row r="31" spans="1:9" ht="29" x14ac:dyDescent="0.35">
      <c r="A31" s="1" t="s">
        <v>28</v>
      </c>
      <c r="B31" t="s">
        <v>29</v>
      </c>
      <c r="E31" s="10" t="s">
        <v>40</v>
      </c>
    </row>
    <row r="32" spans="1:9" ht="43.5" x14ac:dyDescent="0.35">
      <c r="A32" s="1" t="s">
        <v>30</v>
      </c>
      <c r="B32" t="s">
        <v>31</v>
      </c>
      <c r="C32" t="s">
        <v>32</v>
      </c>
      <c r="D32" t="s">
        <v>33</v>
      </c>
      <c r="F32" s="10" t="s">
        <v>42</v>
      </c>
      <c r="H32" s="10" t="s">
        <v>40</v>
      </c>
      <c r="I32" s="10" t="s">
        <v>41</v>
      </c>
    </row>
    <row r="33" spans="1:9" x14ac:dyDescent="0.35">
      <c r="A33" s="1" t="s">
        <v>36</v>
      </c>
      <c r="B33">
        <v>324</v>
      </c>
      <c r="C33">
        <v>286</v>
      </c>
      <c r="D33">
        <v>514</v>
      </c>
      <c r="E33">
        <v>11</v>
      </c>
    </row>
    <row r="34" spans="1:9" x14ac:dyDescent="0.35">
      <c r="A34" s="1" t="s">
        <v>37</v>
      </c>
      <c r="B34">
        <v>252</v>
      </c>
      <c r="C34">
        <v>264</v>
      </c>
      <c r="D34">
        <v>396</v>
      </c>
      <c r="E34">
        <v>3</v>
      </c>
    </row>
    <row r="35" spans="1:9" x14ac:dyDescent="0.35">
      <c r="A35" s="1" t="s">
        <v>38</v>
      </c>
      <c r="B35">
        <v>24</v>
      </c>
      <c r="C35">
        <v>-24</v>
      </c>
      <c r="D35">
        <v>32</v>
      </c>
      <c r="E35">
        <v>2</v>
      </c>
    </row>
    <row r="36" spans="1:9" x14ac:dyDescent="0.35">
      <c r="A36" s="1" t="s">
        <v>39</v>
      </c>
      <c r="B36">
        <v>48</v>
      </c>
      <c r="C36">
        <v>46</v>
      </c>
      <c r="D36">
        <v>86</v>
      </c>
      <c r="E36">
        <v>6</v>
      </c>
      <c r="F36">
        <f>B36-(C36)^2/D36</f>
        <v>23.395348837209301</v>
      </c>
      <c r="G36">
        <v>23.4</v>
      </c>
      <c r="H36">
        <f>E36-1</f>
        <v>5</v>
      </c>
      <c r="I36">
        <f>G36/H36</f>
        <v>4.68</v>
      </c>
    </row>
    <row r="37" spans="1:9" x14ac:dyDescent="0.35">
      <c r="A37" s="1" t="s">
        <v>34</v>
      </c>
      <c r="B37">
        <f>B35+B36</f>
        <v>72</v>
      </c>
      <c r="C37">
        <f t="shared" ref="C37:D37" si="7">C35+C36</f>
        <v>22</v>
      </c>
      <c r="D37">
        <f t="shared" si="7"/>
        <v>118</v>
      </c>
      <c r="E37">
        <v>8</v>
      </c>
      <c r="F37">
        <f>B37-(C37)^2/D37</f>
        <v>67.898305084745758</v>
      </c>
      <c r="G37">
        <v>67.900000000000006</v>
      </c>
      <c r="H37">
        <f>E37-1</f>
        <v>7</v>
      </c>
    </row>
    <row r="38" spans="1:9" x14ac:dyDescent="0.35">
      <c r="A38" s="1" t="s">
        <v>35</v>
      </c>
      <c r="G38">
        <f>G37-G36</f>
        <v>44.500000000000007</v>
      </c>
      <c r="H38">
        <f>H37-H36</f>
        <v>2</v>
      </c>
      <c r="I38">
        <f>G38/H38</f>
        <v>22.250000000000004</v>
      </c>
    </row>
    <row r="41" spans="1:9" x14ac:dyDescent="0.35">
      <c r="A41" s="1" t="s">
        <v>43</v>
      </c>
      <c r="B41">
        <f>I38/I36</f>
        <v>4.7542735042735051</v>
      </c>
      <c r="C41">
        <v>4.75</v>
      </c>
      <c r="E41" t="s">
        <v>44</v>
      </c>
      <c r="F41">
        <v>0.05</v>
      </c>
    </row>
    <row r="42" spans="1:9" x14ac:dyDescent="0.35">
      <c r="E42" t="s">
        <v>45</v>
      </c>
      <c r="F42">
        <f>_xlfn.F.INV(1-F41,2,5)</f>
        <v>5.7861350433499643</v>
      </c>
      <c r="G42">
        <v>5.79</v>
      </c>
    </row>
  </sheetData>
  <mergeCells count="2">
    <mergeCell ref="C1:E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 Petrovic</dc:creator>
  <cp:lastModifiedBy>Milos Petrovic</cp:lastModifiedBy>
  <dcterms:created xsi:type="dcterms:W3CDTF">2026-01-14T15:34:51Z</dcterms:created>
  <dcterms:modified xsi:type="dcterms:W3CDTF">2026-01-14T17:01:14Z</dcterms:modified>
</cp:coreProperties>
</file>